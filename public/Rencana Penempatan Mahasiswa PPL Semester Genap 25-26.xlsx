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 Dokumen LABORATORIUM FTK\Dokumen PPKPM SM Ganjil 25-26\"/>
    </mc:Choice>
  </mc:AlternateContent>
  <xr:revisionPtr revIDLastSave="0" documentId="13_ncr:1_{B0264B60-B3DE-40B7-AF20-38306E33F976}" xr6:coauthVersionLast="47" xr6:coauthVersionMax="47" xr10:uidLastSave="{00000000-0000-0000-0000-000000000000}"/>
  <bookViews>
    <workbookView xWindow="-110" yWindow="-110" windowWidth="19420" windowHeight="10300" xr2:uid="{D8FB8D7E-D124-49F8-9147-2F6E4D90C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9" i="1" l="1"/>
  <c r="M89" i="1"/>
  <c r="L89" i="1"/>
  <c r="F89" i="1"/>
  <c r="E89" i="1"/>
  <c r="Q88" i="1"/>
  <c r="Q89" i="1" s="1"/>
  <c r="P88" i="1"/>
  <c r="P89" i="1" s="1"/>
  <c r="O88" i="1"/>
  <c r="O89" i="1" s="1"/>
  <c r="N88" i="1"/>
  <c r="M88" i="1"/>
  <c r="L88" i="1"/>
  <c r="K88" i="1"/>
  <c r="K89" i="1" s="1"/>
  <c r="J88" i="1"/>
  <c r="J89" i="1" s="1"/>
  <c r="I88" i="1"/>
  <c r="I89" i="1" s="1"/>
  <c r="H88" i="1"/>
  <c r="H89" i="1" s="1"/>
  <c r="G88" i="1"/>
  <c r="G89" i="1" s="1"/>
  <c r="F88" i="1"/>
  <c r="E88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88" i="1" s="1"/>
  <c r="R3" i="1"/>
  <c r="R2" i="1"/>
  <c r="R89" i="1" l="1"/>
</calcChain>
</file>

<file path=xl/sharedStrings.xml><?xml version="1.0" encoding="utf-8"?>
<sst xmlns="http://schemas.openxmlformats.org/spreadsheetml/2006/main" count="188" uniqueCount="133">
  <si>
    <t>No</t>
  </si>
  <si>
    <t xml:space="preserve">Nama Sekolah </t>
  </si>
  <si>
    <t>Jumlah Rombel</t>
  </si>
  <si>
    <t>Alamat Kecamatan</t>
  </si>
  <si>
    <t>BK</t>
  </si>
  <si>
    <t>PBA</t>
  </si>
  <si>
    <t>MPI</t>
  </si>
  <si>
    <t>PBL</t>
  </si>
  <si>
    <t>PFS</t>
  </si>
  <si>
    <t>PKM</t>
  </si>
  <si>
    <t>PMA</t>
  </si>
  <si>
    <t>PAI</t>
  </si>
  <si>
    <t>PBI</t>
  </si>
  <si>
    <t>PTI</t>
  </si>
  <si>
    <t>PTE</t>
  </si>
  <si>
    <t>PGMI</t>
  </si>
  <si>
    <t>PIAUD</t>
  </si>
  <si>
    <t>JLH</t>
  </si>
  <si>
    <t>MAN 2 ACEH BESAR</t>
  </si>
  <si>
    <t>Montasik</t>
  </si>
  <si>
    <t>MAN 4 ACEH BESAR</t>
  </si>
  <si>
    <t>Darussalam</t>
  </si>
  <si>
    <t>MAN 6 ACEH BESAR</t>
  </si>
  <si>
    <t>MAS ASAASUNNAJAH</t>
  </si>
  <si>
    <t>Ingin Jaya</t>
  </si>
  <si>
    <t>MAS DARUL AMAN</t>
  </si>
  <si>
    <t>MAS DARUL HIKMAH</t>
  </si>
  <si>
    <t>Baitussalam</t>
  </si>
  <si>
    <t>MAS DARUL IHSAN</t>
  </si>
  <si>
    <t>MAS DARUZZAHIDIN</t>
  </si>
  <si>
    <t>Kuta Baro</t>
  </si>
  <si>
    <t>MAS MUTAALLIMIN</t>
  </si>
  <si>
    <t>Blang Bintang</t>
  </si>
  <si>
    <t>MAS RUHUL ISLAM ANAK BANGSA</t>
  </si>
  <si>
    <t>Darul Imarah</t>
  </si>
  <si>
    <t>MAN 3 Banda Aceh</t>
  </si>
  <si>
    <t>Rukoh Syiah Kuala</t>
  </si>
  <si>
    <t>MAS Darul Ulum</t>
  </si>
  <si>
    <t>Kuta Alam, Banda Aceh</t>
  </si>
  <si>
    <t>MAS Babun Naja</t>
  </si>
  <si>
    <t>Ulee Kareng</t>
  </si>
  <si>
    <t>MTSN 2 ACEH BESAR</t>
  </si>
  <si>
    <t>MTSN 4 ACEH BESAR</t>
  </si>
  <si>
    <t>Suka Makmur</t>
  </si>
  <si>
    <t>MTSN 6 ACEH BESAR</t>
  </si>
  <si>
    <t>MTSN 7 ACEH BESAR</t>
  </si>
  <si>
    <t>MTSN 8 ACEH BESAR</t>
  </si>
  <si>
    <t>MTSS  ASAASUNNAJAH</t>
  </si>
  <si>
    <t>MTSS  DARUL HIKMAH</t>
  </si>
  <si>
    <t>MTSS  DARUL IHSAN</t>
  </si>
  <si>
    <t>MTSS  KEUTAPANG DUA</t>
  </si>
  <si>
    <t>MTSS  LAM UJONG</t>
  </si>
  <si>
    <t>Krueng Barona Jaya</t>
  </si>
  <si>
    <t>MTSS  MON MALEM</t>
  </si>
  <si>
    <t>MTSS AHLUL QURAN</t>
  </si>
  <si>
    <t>MTSS  SAMAHANI</t>
  </si>
  <si>
    <t>Kuta Malaka</t>
  </si>
  <si>
    <t>MTSS SAMUDERA PASAI</t>
  </si>
  <si>
    <t>MTsN 1 Banda Aceh</t>
  </si>
  <si>
    <t>MTsN 2 Banda Aceh</t>
  </si>
  <si>
    <t>Lueng Bata Banda Aceh</t>
  </si>
  <si>
    <t>MTsN 4 Banda Aceh</t>
  </si>
  <si>
    <t>MTsS Darul Ulum</t>
  </si>
  <si>
    <t>MTs Babun Najah</t>
  </si>
  <si>
    <t>MIN 3 ACEH BESAR</t>
  </si>
  <si>
    <t>MIN 20 ACEH BESAR</t>
  </si>
  <si>
    <t>MIS ISLAMIC QURANIC CENTRE</t>
  </si>
  <si>
    <t>MIT MEUNARA BARO</t>
  </si>
  <si>
    <t>MIS MON MALEM</t>
  </si>
  <si>
    <t>MIN 11 ACEH BESAR</t>
  </si>
  <si>
    <t>MIN 13 ACEH BESAR</t>
  </si>
  <si>
    <t>MIN 10 ACEH BESAR</t>
  </si>
  <si>
    <t>MIN 19 ACEH BESAR</t>
  </si>
  <si>
    <t>SDN 55 Banda Aceh</t>
  </si>
  <si>
    <t>KP Pineung Syiah Kuala</t>
  </si>
  <si>
    <t>SDN 68 Banda Aceh</t>
  </si>
  <si>
    <t>Lam Gugop Syiah Kuala</t>
  </si>
  <si>
    <t>SDN 69 Banda Aceh</t>
  </si>
  <si>
    <t>Kopelma Darussalam Syiah Kuala</t>
  </si>
  <si>
    <t>SDN 61 Banda Aceh</t>
  </si>
  <si>
    <t>Lingke, Syiah Kuala</t>
  </si>
  <si>
    <t>SDN 46 Banda Aceh</t>
  </si>
  <si>
    <t>SDN 54 Banda Aceh</t>
  </si>
  <si>
    <t>Peurada Syiah Kuala</t>
  </si>
  <si>
    <t>SDN 57 Banda Aceh</t>
  </si>
  <si>
    <t>Kopelama Darussala Syiah Kuala</t>
  </si>
  <si>
    <t>SDN 15 Banda Aceh</t>
  </si>
  <si>
    <t>Desa Tibang Syiah Kuala</t>
  </si>
  <si>
    <t>SDN 16 Banda Aceh</t>
  </si>
  <si>
    <t>SD  N KUTA PASIE</t>
  </si>
  <si>
    <t>SD  NEGERI 1 KLIENG</t>
  </si>
  <si>
    <t>SD  NEGERI DEAH RUNGKOM</t>
  </si>
  <si>
    <t>SD  NEGERI KAJHU</t>
  </si>
  <si>
    <t>SD  NEGERI LABUY</t>
  </si>
  <si>
    <t>SD  NEGERI LAMBADA KLIENG</t>
  </si>
  <si>
    <t>SD  NEGERI MONSINGET</t>
  </si>
  <si>
    <t>SD  N KUTA BAKMEE</t>
  </si>
  <si>
    <t>SD  NEGERI LAMBARO  ANGAN</t>
  </si>
  <si>
    <t>SD  NEGERI LAMKLAT</t>
  </si>
  <si>
    <t>SD  NEGERI UJONG KUTA</t>
  </si>
  <si>
    <t>SD  NEGERI 1 PAGAR  AIR</t>
  </si>
  <si>
    <t>SMKN 1 Al- Mubarkeya</t>
  </si>
  <si>
    <t>SMKN 4 Banda Aceh</t>
  </si>
  <si>
    <t>SMKN 5 Banda Aceh (Telkom)</t>
  </si>
  <si>
    <t>SMK Darul Ihsan</t>
  </si>
  <si>
    <t>SMK Darul Kamal Aceh Besar</t>
  </si>
  <si>
    <t>Darul Kamal</t>
  </si>
  <si>
    <t>SMK Penerbangan Aceh</t>
  </si>
  <si>
    <t>SMK Muhammadiyah</t>
  </si>
  <si>
    <t>Baiturrahman, Banda Aceh</t>
  </si>
  <si>
    <t>SMA Muhammadiyah</t>
  </si>
  <si>
    <t>SMA Al-Falah Abu Lam U</t>
  </si>
  <si>
    <t>Ingin Jaya, Aceh Besar</t>
  </si>
  <si>
    <t xml:space="preserve">SMP NEGERI 2 KUTA BARO  </t>
  </si>
  <si>
    <t xml:space="preserve">SMP N 3 INGIN JAYA </t>
  </si>
  <si>
    <t>SMP NEGERI 1 INGIN JAYA</t>
  </si>
  <si>
    <t>SMP NEGERI 1 DARUSSALAM</t>
  </si>
  <si>
    <t>SMPN 8 Banda Aceh</t>
  </si>
  <si>
    <t>SMP IT Al Faraby Bilingual School</t>
  </si>
  <si>
    <t>Lam Teun Darul Imarah</t>
  </si>
  <si>
    <t>TK IT Baitushalihin</t>
  </si>
  <si>
    <t>RA Fathun Qarib</t>
  </si>
  <si>
    <t>Syiah Kuala</t>
  </si>
  <si>
    <t>RA Takrimah</t>
  </si>
  <si>
    <t>Darussalam, Aceh Besar</t>
  </si>
  <si>
    <t>PAUD Safiatuddin Aceh Besar</t>
  </si>
  <si>
    <t>TK IT Insan Madani</t>
  </si>
  <si>
    <t>TKN 2 Banda Aceh</t>
  </si>
  <si>
    <t>Lueng Bata</t>
  </si>
  <si>
    <t>TKIT Syeikh abdurrauf</t>
  </si>
  <si>
    <t>Meuraxa</t>
  </si>
  <si>
    <t>Jlh Terdistribusi</t>
  </si>
  <si>
    <t>Sisa Belum Terdistribusi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</si>
</sst>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4" fillId="2" borderId="5" xfId="0" applyFont="1" applyFill="1" applyBorder="1" applyAlignment="1">
      <alignment vertic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 wrapText="1"/>
    </xf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6" fillId="2" borderId="5" xfId="0" applyFont="1" applyFill="1" applyBorder="1"/>
    <xf numFmtId="0" fontId="7" fillId="2" borderId="5" xfId="0" applyFont="1" applyFill="1" applyBorder="1" applyAlignment="1">
      <alignment vertical="center"/>
    </xf>
    <xf numFmtId="0" fontId="0" fillId="2" borderId="5" xfId="0" applyFill="1" applyBorder="1" applyAlignment="1">
      <alignment vertical="center" wrapText="1"/>
    </xf>
    <xf numFmtId="0" fontId="0" fillId="5" borderId="5" xfId="0" applyFill="1" applyBorder="1"/>
    <xf numFmtId="0" fontId="0" fillId="2" borderId="7" xfId="0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0" fillId="2" borderId="7" xfId="0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8D8D8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4C6E7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1B2DFA-F497-48B8-BBBE-AF16C8BD883A}" name="Table13" displayName="Table13" ref="A1:R86" totalsRowShown="0" headerRowDxfId="22" dataDxfId="21" headerRowBorderDxfId="19" tableBorderDxfId="20" totalsRowBorderDxfId="18">
  <autoFilter ref="A1:R86" xr:uid="{101B2DFA-F497-48B8-BBBE-AF16C8BD883A}"/>
  <tableColumns count="18">
    <tableColumn id="1" xr3:uid="{BBA84A5D-6798-4A97-AE5A-FB07A5462079}" name="No" dataDxfId="17"/>
    <tableColumn id="2" xr3:uid="{71ED6B36-DD87-45BC-B0E9-8C6ED79E6481}" name="Nama Sekolah " dataDxfId="16"/>
    <tableColumn id="3" xr3:uid="{C71D8430-9724-44D3-B73A-ED52C5BAC92C}" name="Jumlah Rombel" dataDxfId="15"/>
    <tableColumn id="4" xr3:uid="{07F6300A-51DB-4A5D-BFDF-F0CB141AC037}" name="Alamat Kecamatan" dataDxfId="14"/>
    <tableColumn id="5" xr3:uid="{32ECA306-5FB3-46DC-96C5-522D2B845109}" name="BK" dataDxfId="13"/>
    <tableColumn id="6" xr3:uid="{5C030D01-731A-44E8-8505-FD9BD13F6B28}" name="PBA" dataDxfId="12"/>
    <tableColumn id="7" xr3:uid="{BB00E2D1-50C3-464E-B0DE-D342F90D0262}" name="MPI" dataDxfId="11"/>
    <tableColumn id="8" xr3:uid="{8C1765B6-34F5-4045-9EBF-83967B4D84F8}" name="PBL" dataDxfId="10"/>
    <tableColumn id="9" xr3:uid="{B2BE856F-1719-445F-A427-0FD73B0E1EFF}" name="PFS" dataDxfId="9"/>
    <tableColumn id="10" xr3:uid="{7AB20B35-1764-44C3-B8B8-4F077FEB7100}" name="PKM" dataDxfId="8"/>
    <tableColumn id="11" xr3:uid="{1C145617-7DF9-46E3-8111-FF84816D398D}" name="PMA" dataDxfId="7"/>
    <tableColumn id="12" xr3:uid="{04B81ECB-5B1D-4D4D-84B6-A59D87CE0F37}" name="PAI" dataDxfId="6"/>
    <tableColumn id="13" xr3:uid="{87D52C1D-31CC-47D9-840A-02ED871177D5}" name="PBI" dataDxfId="5"/>
    <tableColumn id="14" xr3:uid="{1E561719-517B-4350-A8EB-8E410F28B38B}" name="PTI" dataDxfId="4"/>
    <tableColumn id="15" xr3:uid="{14557C69-50B0-458E-ABCB-76AA562DB1A0}" name="PTE" dataDxfId="3"/>
    <tableColumn id="16" xr3:uid="{2A25C2BA-E234-4A90-8169-9FCB6FFD6DC1}" name="PGMI" dataDxfId="2"/>
    <tableColumn id="17" xr3:uid="{4FF73D37-3F0F-4EB1-9150-95AA39904FFC}" name="PIAUD" dataDxfId="1"/>
    <tableColumn id="18" xr3:uid="{D070DBD8-7970-478B-BAA0-E25F116A20C9}" name="JLH" dataDxfId="0">
      <calculatedColumnFormula>SUM(E2:Q2)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3EAF-052E-4F2F-AF93-4F5EDCB4C941}">
  <dimension ref="A1:R136"/>
  <sheetViews>
    <sheetView tabSelected="1" topLeftCell="A8" workbookViewId="0">
      <selection activeCell="B94" sqref="B94"/>
    </sheetView>
  </sheetViews>
  <sheetFormatPr defaultRowHeight="14.5" x14ac:dyDescent="0.35"/>
  <cols>
    <col min="1" max="1" width="6.36328125" customWidth="1"/>
    <col min="2" max="2" width="28.453125" customWidth="1"/>
    <col min="3" max="3" width="7.90625" customWidth="1"/>
    <col min="4" max="4" width="22.6328125" customWidth="1"/>
    <col min="5" max="5" width="4.90625" customWidth="1"/>
    <col min="6" max="7" width="4.7265625" customWidth="1"/>
    <col min="8" max="8" width="4.1796875" customWidth="1"/>
    <col min="9" max="9" width="4.36328125" customWidth="1"/>
    <col min="10" max="10" width="5" customWidth="1"/>
    <col min="11" max="11" width="5.54296875" customWidth="1"/>
    <col min="12" max="12" width="5.453125" customWidth="1"/>
    <col min="13" max="13" width="4.08984375" customWidth="1"/>
    <col min="14" max="14" width="3.7265625" customWidth="1"/>
    <col min="15" max="15" width="4.26953125" customWidth="1"/>
    <col min="16" max="16" width="6" customWidth="1"/>
    <col min="17" max="17" width="5.90625" customWidth="1"/>
    <col min="18" max="18" width="5.1796875" customWidth="1"/>
  </cols>
  <sheetData>
    <row r="1" spans="1:18" ht="34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spans="1:18" x14ac:dyDescent="0.35">
      <c r="A2" s="6"/>
      <c r="B2" s="7"/>
      <c r="C2" s="8"/>
      <c r="D2" s="9"/>
      <c r="E2" s="10">
        <v>3</v>
      </c>
      <c r="F2" s="11">
        <v>101</v>
      </c>
      <c r="G2" s="11">
        <v>92</v>
      </c>
      <c r="H2" s="11">
        <v>0</v>
      </c>
      <c r="I2" s="11">
        <v>12</v>
      </c>
      <c r="J2" s="11">
        <v>14</v>
      </c>
      <c r="K2" s="11">
        <v>46</v>
      </c>
      <c r="L2" s="11">
        <v>48</v>
      </c>
      <c r="M2" s="11">
        <v>14</v>
      </c>
      <c r="N2" s="11">
        <v>44</v>
      </c>
      <c r="O2" s="11">
        <v>39</v>
      </c>
      <c r="P2" s="11">
        <v>124</v>
      </c>
      <c r="Q2" s="11">
        <v>39</v>
      </c>
      <c r="R2" s="12">
        <f>SUM(E2:Q2)</f>
        <v>576</v>
      </c>
    </row>
    <row r="3" spans="1:18" x14ac:dyDescent="0.35">
      <c r="A3" s="13">
        <v>1</v>
      </c>
      <c r="B3" s="14" t="s">
        <v>18</v>
      </c>
      <c r="C3" s="15">
        <v>10</v>
      </c>
      <c r="D3" s="16" t="s">
        <v>19</v>
      </c>
      <c r="E3" s="16">
        <v>1</v>
      </c>
      <c r="F3" s="16">
        <v>3</v>
      </c>
      <c r="G3" s="16">
        <v>1</v>
      </c>
      <c r="H3" s="16"/>
      <c r="I3" s="16">
        <v>1</v>
      </c>
      <c r="J3" s="16"/>
      <c r="K3" s="16">
        <v>1</v>
      </c>
      <c r="L3" s="15">
        <v>1</v>
      </c>
      <c r="M3" s="16"/>
      <c r="N3" s="16"/>
      <c r="O3" s="16"/>
      <c r="P3" s="16"/>
      <c r="Q3" s="16"/>
      <c r="R3" s="12">
        <f t="shared" ref="R3:R66" si="0">SUM(E3:Q3)</f>
        <v>8</v>
      </c>
    </row>
    <row r="4" spans="1:18" x14ac:dyDescent="0.35">
      <c r="A4" s="13">
        <v>2</v>
      </c>
      <c r="B4" s="14" t="s">
        <v>20</v>
      </c>
      <c r="C4" s="15">
        <v>15</v>
      </c>
      <c r="D4" s="16" t="s">
        <v>21</v>
      </c>
      <c r="E4" s="16">
        <v>1</v>
      </c>
      <c r="F4" s="16">
        <v>3</v>
      </c>
      <c r="G4" s="16">
        <v>1</v>
      </c>
      <c r="H4" s="16"/>
      <c r="I4" s="16">
        <v>1</v>
      </c>
      <c r="J4" s="16"/>
      <c r="K4" s="16">
        <v>1</v>
      </c>
      <c r="L4" s="15">
        <v>1</v>
      </c>
      <c r="M4" s="16"/>
      <c r="N4" s="16"/>
      <c r="O4" s="16"/>
      <c r="P4" s="16"/>
      <c r="Q4" s="16"/>
      <c r="R4" s="12">
        <f t="shared" si="0"/>
        <v>8</v>
      </c>
    </row>
    <row r="5" spans="1:18" x14ac:dyDescent="0.35">
      <c r="A5" s="13">
        <v>3</v>
      </c>
      <c r="B5" s="14" t="s">
        <v>22</v>
      </c>
      <c r="C5" s="15">
        <v>9</v>
      </c>
      <c r="D5" s="16" t="s">
        <v>21</v>
      </c>
      <c r="E5" s="16">
        <v>1</v>
      </c>
      <c r="F5" s="16">
        <v>2</v>
      </c>
      <c r="G5" s="16">
        <v>1</v>
      </c>
      <c r="H5" s="16"/>
      <c r="I5" s="16">
        <v>1</v>
      </c>
      <c r="J5" s="16">
        <v>1</v>
      </c>
      <c r="K5" s="16">
        <v>1</v>
      </c>
      <c r="L5" s="15">
        <v>1</v>
      </c>
      <c r="M5" s="16"/>
      <c r="N5" s="16"/>
      <c r="O5" s="16"/>
      <c r="P5" s="16"/>
      <c r="Q5" s="16"/>
      <c r="R5" s="12">
        <f t="shared" si="0"/>
        <v>8</v>
      </c>
    </row>
    <row r="6" spans="1:18" x14ac:dyDescent="0.35">
      <c r="A6" s="13">
        <v>4</v>
      </c>
      <c r="B6" s="14" t="s">
        <v>23</v>
      </c>
      <c r="C6" s="15">
        <v>8</v>
      </c>
      <c r="D6" s="16" t="s">
        <v>24</v>
      </c>
      <c r="E6" s="16"/>
      <c r="F6" s="16">
        <v>2</v>
      </c>
      <c r="G6" s="16">
        <v>1</v>
      </c>
      <c r="H6" s="16"/>
      <c r="I6" s="16">
        <v>1</v>
      </c>
      <c r="J6" s="16">
        <v>1</v>
      </c>
      <c r="K6" s="16">
        <v>1</v>
      </c>
      <c r="L6" s="15">
        <v>1</v>
      </c>
      <c r="M6" s="16">
        <v>1</v>
      </c>
      <c r="N6" s="16"/>
      <c r="O6" s="16"/>
      <c r="P6" s="16"/>
      <c r="Q6" s="16"/>
      <c r="R6" s="12">
        <f t="shared" si="0"/>
        <v>8</v>
      </c>
    </row>
    <row r="7" spans="1:18" x14ac:dyDescent="0.35">
      <c r="A7" s="13">
        <v>5</v>
      </c>
      <c r="B7" s="14" t="s">
        <v>25</v>
      </c>
      <c r="C7" s="17">
        <v>20</v>
      </c>
      <c r="D7" s="14" t="s">
        <v>21</v>
      </c>
      <c r="E7" s="16"/>
      <c r="F7" s="16">
        <v>3</v>
      </c>
      <c r="G7" s="16">
        <v>1</v>
      </c>
      <c r="H7" s="16"/>
      <c r="I7" s="16"/>
      <c r="J7" s="16">
        <v>1</v>
      </c>
      <c r="K7" s="16">
        <v>1</v>
      </c>
      <c r="L7" s="15">
        <v>1</v>
      </c>
      <c r="M7" s="16">
        <v>1</v>
      </c>
      <c r="N7" s="16"/>
      <c r="O7" s="16"/>
      <c r="P7" s="16"/>
      <c r="Q7" s="16"/>
      <c r="R7" s="12">
        <f t="shared" si="0"/>
        <v>8</v>
      </c>
    </row>
    <row r="8" spans="1:18" x14ac:dyDescent="0.35">
      <c r="A8" s="13">
        <v>6</v>
      </c>
      <c r="B8" s="14" t="s">
        <v>26</v>
      </c>
      <c r="C8" s="17">
        <v>4</v>
      </c>
      <c r="D8" s="14" t="s">
        <v>27</v>
      </c>
      <c r="E8" s="16"/>
      <c r="F8" s="16">
        <v>2</v>
      </c>
      <c r="G8" s="16">
        <v>1</v>
      </c>
      <c r="H8" s="16"/>
      <c r="I8" s="16">
        <v>1</v>
      </c>
      <c r="J8" s="16">
        <v>1</v>
      </c>
      <c r="K8" s="16">
        <v>1</v>
      </c>
      <c r="L8" s="15">
        <v>1</v>
      </c>
      <c r="M8" s="16">
        <v>1</v>
      </c>
      <c r="N8" s="16"/>
      <c r="O8" s="16"/>
      <c r="P8" s="16"/>
      <c r="Q8" s="16"/>
      <c r="R8" s="12">
        <f t="shared" si="0"/>
        <v>8</v>
      </c>
    </row>
    <row r="9" spans="1:18" x14ac:dyDescent="0.35">
      <c r="A9" s="13">
        <v>7</v>
      </c>
      <c r="B9" s="14" t="s">
        <v>28</v>
      </c>
      <c r="C9" s="17">
        <v>20</v>
      </c>
      <c r="D9" s="14" t="s">
        <v>21</v>
      </c>
      <c r="E9" s="16"/>
      <c r="F9" s="16">
        <v>3</v>
      </c>
      <c r="G9" s="16">
        <v>1</v>
      </c>
      <c r="H9" s="16"/>
      <c r="I9" s="16">
        <v>1</v>
      </c>
      <c r="J9" s="16">
        <v>1</v>
      </c>
      <c r="K9" s="16">
        <v>1</v>
      </c>
      <c r="L9" s="15">
        <v>1</v>
      </c>
      <c r="M9" s="16"/>
      <c r="N9" s="16"/>
      <c r="O9" s="16"/>
      <c r="P9" s="16"/>
      <c r="Q9" s="16"/>
      <c r="R9" s="12">
        <f t="shared" si="0"/>
        <v>8</v>
      </c>
    </row>
    <row r="10" spans="1:18" x14ac:dyDescent="0.35">
      <c r="A10" s="13">
        <v>8</v>
      </c>
      <c r="B10" s="14" t="s">
        <v>29</v>
      </c>
      <c r="C10" s="17">
        <v>6</v>
      </c>
      <c r="D10" s="14" t="s">
        <v>30</v>
      </c>
      <c r="E10" s="16"/>
      <c r="F10" s="16">
        <v>2</v>
      </c>
      <c r="G10" s="16">
        <v>1</v>
      </c>
      <c r="H10" s="16"/>
      <c r="I10" s="16">
        <v>1</v>
      </c>
      <c r="J10" s="16">
        <v>1</v>
      </c>
      <c r="K10" s="16">
        <v>1</v>
      </c>
      <c r="L10" s="15">
        <v>1</v>
      </c>
      <c r="M10" s="16">
        <v>1</v>
      </c>
      <c r="N10" s="16"/>
      <c r="O10" s="16"/>
      <c r="P10" s="16"/>
      <c r="Q10" s="16"/>
      <c r="R10" s="12">
        <f t="shared" si="0"/>
        <v>8</v>
      </c>
    </row>
    <row r="11" spans="1:18" x14ac:dyDescent="0.35">
      <c r="A11" s="13">
        <v>9</v>
      </c>
      <c r="B11" s="14" t="s">
        <v>31</v>
      </c>
      <c r="C11" s="17">
        <v>20</v>
      </c>
      <c r="D11" s="14" t="s">
        <v>32</v>
      </c>
      <c r="E11" s="16"/>
      <c r="F11" s="16">
        <v>3</v>
      </c>
      <c r="G11" s="16">
        <v>1</v>
      </c>
      <c r="H11" s="16"/>
      <c r="I11" s="16">
        <v>1</v>
      </c>
      <c r="J11" s="16">
        <v>1</v>
      </c>
      <c r="K11" s="16">
        <v>1</v>
      </c>
      <c r="L11" s="15">
        <v>1</v>
      </c>
      <c r="M11" s="16"/>
      <c r="N11" s="16"/>
      <c r="O11" s="16"/>
      <c r="P11" s="16"/>
      <c r="Q11" s="16"/>
      <c r="R11" s="12">
        <f t="shared" si="0"/>
        <v>8</v>
      </c>
    </row>
    <row r="12" spans="1:18" ht="29" x14ac:dyDescent="0.35">
      <c r="A12" s="13">
        <v>10</v>
      </c>
      <c r="B12" s="18" t="s">
        <v>33</v>
      </c>
      <c r="C12" s="17">
        <v>27</v>
      </c>
      <c r="D12" s="14" t="s">
        <v>34</v>
      </c>
      <c r="E12" s="16"/>
      <c r="F12" s="19">
        <v>3</v>
      </c>
      <c r="G12" s="19">
        <v>1</v>
      </c>
      <c r="H12" s="19"/>
      <c r="I12" s="19">
        <v>1</v>
      </c>
      <c r="J12" s="19">
        <v>1</v>
      </c>
      <c r="K12" s="19">
        <v>1</v>
      </c>
      <c r="L12" s="20">
        <v>1</v>
      </c>
      <c r="M12" s="19"/>
      <c r="N12" s="19"/>
      <c r="O12" s="19"/>
      <c r="P12" s="19"/>
      <c r="Q12" s="19"/>
      <c r="R12" s="12">
        <f t="shared" si="0"/>
        <v>8</v>
      </c>
    </row>
    <row r="13" spans="1:18" x14ac:dyDescent="0.35">
      <c r="A13" s="13">
        <v>11</v>
      </c>
      <c r="B13" s="18" t="s">
        <v>35</v>
      </c>
      <c r="C13" s="17"/>
      <c r="D13" s="14" t="s">
        <v>36</v>
      </c>
      <c r="E13" s="16"/>
      <c r="F13" s="16">
        <v>3</v>
      </c>
      <c r="G13" s="16">
        <v>1</v>
      </c>
      <c r="H13" s="16"/>
      <c r="I13" s="16"/>
      <c r="J13" s="16"/>
      <c r="K13" s="16"/>
      <c r="L13" s="15">
        <v>1</v>
      </c>
      <c r="M13" s="16"/>
      <c r="N13" s="16">
        <v>1</v>
      </c>
      <c r="O13" s="16"/>
      <c r="P13" s="16"/>
      <c r="Q13" s="15"/>
      <c r="R13" s="12">
        <f t="shared" si="0"/>
        <v>6</v>
      </c>
    </row>
    <row r="14" spans="1:18" ht="18" customHeight="1" x14ac:dyDescent="0.35">
      <c r="A14" s="13">
        <v>12</v>
      </c>
      <c r="B14" s="18" t="s">
        <v>37</v>
      </c>
      <c r="C14" s="17"/>
      <c r="D14" s="14" t="s">
        <v>38</v>
      </c>
      <c r="E14" s="16"/>
      <c r="F14" s="16">
        <v>3</v>
      </c>
      <c r="G14" s="16">
        <v>1</v>
      </c>
      <c r="H14" s="16"/>
      <c r="I14" s="16"/>
      <c r="J14" s="16"/>
      <c r="K14" s="16"/>
      <c r="L14" s="15">
        <v>1</v>
      </c>
      <c r="M14" s="16"/>
      <c r="N14" s="16">
        <v>1</v>
      </c>
      <c r="O14" s="16"/>
      <c r="P14" s="16"/>
      <c r="Q14" s="15"/>
      <c r="R14" s="12">
        <f t="shared" si="0"/>
        <v>6</v>
      </c>
    </row>
    <row r="15" spans="1:18" x14ac:dyDescent="0.35">
      <c r="A15" s="13">
        <v>13</v>
      </c>
      <c r="B15" s="18" t="s">
        <v>39</v>
      </c>
      <c r="C15" s="17"/>
      <c r="D15" s="14" t="s">
        <v>40</v>
      </c>
      <c r="E15" s="16"/>
      <c r="F15" s="16">
        <v>3</v>
      </c>
      <c r="G15" s="16">
        <v>1</v>
      </c>
      <c r="H15" s="16"/>
      <c r="I15" s="16">
        <v>1</v>
      </c>
      <c r="J15" s="16"/>
      <c r="K15" s="16">
        <v>1</v>
      </c>
      <c r="L15" s="15">
        <v>1</v>
      </c>
      <c r="M15" s="16"/>
      <c r="N15" s="16">
        <v>1</v>
      </c>
      <c r="O15" s="16"/>
      <c r="P15" s="16"/>
      <c r="Q15" s="15"/>
      <c r="R15" s="12">
        <f>SUM(E15:Q15)</f>
        <v>8</v>
      </c>
    </row>
    <row r="16" spans="1:18" x14ac:dyDescent="0.35">
      <c r="A16" s="13">
        <v>14</v>
      </c>
      <c r="B16" s="14" t="s">
        <v>41</v>
      </c>
      <c r="C16" s="17">
        <v>21</v>
      </c>
      <c r="D16" s="14" t="s">
        <v>21</v>
      </c>
      <c r="E16" s="16"/>
      <c r="F16" s="16">
        <v>3</v>
      </c>
      <c r="G16" s="16">
        <v>1</v>
      </c>
      <c r="H16" s="16"/>
      <c r="I16" s="16"/>
      <c r="J16" s="16"/>
      <c r="K16" s="16">
        <v>1</v>
      </c>
      <c r="L16" s="15">
        <v>1</v>
      </c>
      <c r="M16" s="16">
        <v>1</v>
      </c>
      <c r="N16" s="16">
        <v>1</v>
      </c>
      <c r="O16" s="16"/>
      <c r="P16" s="16"/>
      <c r="Q16" s="16"/>
      <c r="R16" s="12">
        <f t="shared" si="0"/>
        <v>8</v>
      </c>
    </row>
    <row r="17" spans="1:18" x14ac:dyDescent="0.35">
      <c r="A17" s="13">
        <v>15</v>
      </c>
      <c r="B17" s="14" t="s">
        <v>42</v>
      </c>
      <c r="C17" s="17">
        <v>18</v>
      </c>
      <c r="D17" s="14" t="s">
        <v>43</v>
      </c>
      <c r="E17" s="16"/>
      <c r="F17" s="16">
        <v>3</v>
      </c>
      <c r="G17" s="16">
        <v>1</v>
      </c>
      <c r="H17" s="16"/>
      <c r="I17" s="16"/>
      <c r="J17" s="16"/>
      <c r="K17" s="16">
        <v>1</v>
      </c>
      <c r="L17" s="15">
        <v>1</v>
      </c>
      <c r="M17" s="16">
        <v>1</v>
      </c>
      <c r="N17" s="16">
        <v>1</v>
      </c>
      <c r="O17" s="16"/>
      <c r="P17" s="16"/>
      <c r="Q17" s="16"/>
      <c r="R17" s="12">
        <f t="shared" si="0"/>
        <v>8</v>
      </c>
    </row>
    <row r="18" spans="1:18" x14ac:dyDescent="0.35">
      <c r="A18" s="13">
        <v>16</v>
      </c>
      <c r="B18" s="14" t="s">
        <v>44</v>
      </c>
      <c r="C18" s="17">
        <v>13</v>
      </c>
      <c r="D18" s="14" t="s">
        <v>19</v>
      </c>
      <c r="E18" s="16"/>
      <c r="F18" s="16">
        <v>2</v>
      </c>
      <c r="G18" s="16">
        <v>1</v>
      </c>
      <c r="H18" s="16"/>
      <c r="I18" s="16"/>
      <c r="J18" s="16"/>
      <c r="K18" s="16">
        <v>1</v>
      </c>
      <c r="L18" s="15">
        <v>1</v>
      </c>
      <c r="M18" s="16">
        <v>1</v>
      </c>
      <c r="N18" s="16">
        <v>1</v>
      </c>
      <c r="O18" s="16"/>
      <c r="P18" s="16"/>
      <c r="Q18" s="16"/>
      <c r="R18" s="12">
        <f t="shared" si="0"/>
        <v>7</v>
      </c>
    </row>
    <row r="19" spans="1:18" x14ac:dyDescent="0.35">
      <c r="A19" s="13">
        <v>17</v>
      </c>
      <c r="B19" s="18" t="s">
        <v>45</v>
      </c>
      <c r="C19" s="17">
        <v>15</v>
      </c>
      <c r="D19" s="14" t="s">
        <v>30</v>
      </c>
      <c r="E19" s="16"/>
      <c r="F19" s="16">
        <v>2</v>
      </c>
      <c r="G19" s="16">
        <v>1</v>
      </c>
      <c r="H19" s="16"/>
      <c r="I19" s="16"/>
      <c r="J19" s="16"/>
      <c r="K19" s="16">
        <v>1</v>
      </c>
      <c r="L19" s="15">
        <v>1</v>
      </c>
      <c r="M19" s="16">
        <v>1</v>
      </c>
      <c r="N19" s="16">
        <v>1</v>
      </c>
      <c r="O19" s="16"/>
      <c r="P19" s="16"/>
      <c r="Q19" s="16"/>
      <c r="R19" s="12">
        <f t="shared" si="0"/>
        <v>7</v>
      </c>
    </row>
    <row r="20" spans="1:18" x14ac:dyDescent="0.35">
      <c r="A20" s="13">
        <v>18</v>
      </c>
      <c r="B20" s="14" t="s">
        <v>46</v>
      </c>
      <c r="C20" s="17">
        <v>14</v>
      </c>
      <c r="D20" s="14" t="s">
        <v>34</v>
      </c>
      <c r="E20" s="16"/>
      <c r="F20" s="16">
        <v>2</v>
      </c>
      <c r="G20" s="16">
        <v>1</v>
      </c>
      <c r="H20" s="16"/>
      <c r="I20" s="16"/>
      <c r="J20" s="16"/>
      <c r="K20" s="16">
        <v>1</v>
      </c>
      <c r="L20" s="15">
        <v>1</v>
      </c>
      <c r="M20" s="16">
        <v>1</v>
      </c>
      <c r="N20" s="16">
        <v>1</v>
      </c>
      <c r="O20" s="16"/>
      <c r="P20" s="16"/>
      <c r="Q20" s="16"/>
      <c r="R20" s="12">
        <f t="shared" si="0"/>
        <v>7</v>
      </c>
    </row>
    <row r="21" spans="1:18" x14ac:dyDescent="0.35">
      <c r="A21" s="13">
        <v>19</v>
      </c>
      <c r="B21" s="14" t="s">
        <v>47</v>
      </c>
      <c r="C21" s="17">
        <v>8</v>
      </c>
      <c r="D21" s="14" t="s">
        <v>24</v>
      </c>
      <c r="E21" s="16"/>
      <c r="F21" s="16">
        <v>2</v>
      </c>
      <c r="G21" s="16">
        <v>1</v>
      </c>
      <c r="H21" s="16"/>
      <c r="I21" s="16"/>
      <c r="J21" s="16"/>
      <c r="K21" s="16">
        <v>1</v>
      </c>
      <c r="L21" s="15">
        <v>1</v>
      </c>
      <c r="M21" s="16">
        <v>1</v>
      </c>
      <c r="N21" s="16">
        <v>1</v>
      </c>
      <c r="O21" s="16"/>
      <c r="P21" s="16"/>
      <c r="Q21" s="16"/>
      <c r="R21" s="12">
        <f t="shared" si="0"/>
        <v>7</v>
      </c>
    </row>
    <row r="22" spans="1:18" x14ac:dyDescent="0.35">
      <c r="A22" s="13">
        <v>20</v>
      </c>
      <c r="B22" s="14" t="s">
        <v>48</v>
      </c>
      <c r="C22" s="17">
        <v>11</v>
      </c>
      <c r="D22" s="14" t="s">
        <v>27</v>
      </c>
      <c r="E22" s="16"/>
      <c r="F22" s="16">
        <v>2</v>
      </c>
      <c r="G22" s="16">
        <v>1</v>
      </c>
      <c r="H22" s="16"/>
      <c r="I22" s="16"/>
      <c r="J22" s="16"/>
      <c r="K22" s="16">
        <v>1</v>
      </c>
      <c r="L22" s="15">
        <v>1</v>
      </c>
      <c r="M22" s="16">
        <v>1</v>
      </c>
      <c r="N22" s="16">
        <v>1</v>
      </c>
      <c r="O22" s="16"/>
      <c r="P22" s="16"/>
      <c r="Q22" s="16"/>
      <c r="R22" s="12">
        <f t="shared" si="0"/>
        <v>7</v>
      </c>
    </row>
    <row r="23" spans="1:18" x14ac:dyDescent="0.35">
      <c r="A23" s="13">
        <v>21</v>
      </c>
      <c r="B23" s="14" t="s">
        <v>49</v>
      </c>
      <c r="C23" s="17">
        <v>22</v>
      </c>
      <c r="D23" s="14" t="s">
        <v>21</v>
      </c>
      <c r="E23" s="16"/>
      <c r="F23" s="16">
        <v>3</v>
      </c>
      <c r="G23" s="16">
        <v>1</v>
      </c>
      <c r="H23" s="16"/>
      <c r="I23" s="16"/>
      <c r="J23" s="16"/>
      <c r="K23" s="16">
        <v>1</v>
      </c>
      <c r="L23" s="15">
        <v>1</v>
      </c>
      <c r="M23" s="16"/>
      <c r="N23" s="16">
        <v>1</v>
      </c>
      <c r="O23" s="16"/>
      <c r="P23" s="16"/>
      <c r="Q23" s="16"/>
      <c r="R23" s="12">
        <f t="shared" si="0"/>
        <v>7</v>
      </c>
    </row>
    <row r="24" spans="1:18" x14ac:dyDescent="0.35">
      <c r="A24" s="13">
        <v>22</v>
      </c>
      <c r="B24" s="14" t="s">
        <v>50</v>
      </c>
      <c r="C24" s="17">
        <v>9</v>
      </c>
      <c r="D24" s="14" t="s">
        <v>34</v>
      </c>
      <c r="E24" s="16"/>
      <c r="F24" s="16">
        <v>2</v>
      </c>
      <c r="G24" s="16">
        <v>1</v>
      </c>
      <c r="H24" s="16"/>
      <c r="I24" s="16"/>
      <c r="J24" s="16"/>
      <c r="K24" s="16">
        <v>1</v>
      </c>
      <c r="L24" s="15">
        <v>1</v>
      </c>
      <c r="M24" s="16">
        <v>1</v>
      </c>
      <c r="N24" s="16">
        <v>1</v>
      </c>
      <c r="O24" s="16"/>
      <c r="P24" s="16"/>
      <c r="Q24" s="16"/>
      <c r="R24" s="12">
        <f t="shared" si="0"/>
        <v>7</v>
      </c>
    </row>
    <row r="25" spans="1:18" x14ac:dyDescent="0.35">
      <c r="A25" s="13">
        <v>23</v>
      </c>
      <c r="B25" s="14" t="s">
        <v>51</v>
      </c>
      <c r="C25" s="17">
        <v>15</v>
      </c>
      <c r="D25" s="14" t="s">
        <v>52</v>
      </c>
      <c r="E25" s="16"/>
      <c r="F25" s="16">
        <v>3</v>
      </c>
      <c r="G25" s="16">
        <v>1</v>
      </c>
      <c r="H25" s="16"/>
      <c r="I25" s="16"/>
      <c r="J25" s="16"/>
      <c r="K25" s="16">
        <v>1</v>
      </c>
      <c r="L25" s="15">
        <v>1</v>
      </c>
      <c r="M25" s="16">
        <v>1</v>
      </c>
      <c r="N25" s="16">
        <v>1</v>
      </c>
      <c r="O25" s="16"/>
      <c r="P25" s="16"/>
      <c r="Q25" s="16"/>
      <c r="R25" s="12">
        <f t="shared" si="0"/>
        <v>8</v>
      </c>
    </row>
    <row r="26" spans="1:18" x14ac:dyDescent="0.35">
      <c r="A26" s="13">
        <v>24</v>
      </c>
      <c r="B26" s="14" t="s">
        <v>53</v>
      </c>
      <c r="C26" s="17">
        <v>6</v>
      </c>
      <c r="D26" s="14" t="s">
        <v>24</v>
      </c>
      <c r="E26" s="16"/>
      <c r="F26" s="16">
        <v>2</v>
      </c>
      <c r="G26" s="16">
        <v>1</v>
      </c>
      <c r="H26" s="16"/>
      <c r="I26" s="16"/>
      <c r="J26" s="16"/>
      <c r="K26" s="16">
        <v>1</v>
      </c>
      <c r="L26" s="15">
        <v>1</v>
      </c>
      <c r="M26" s="16"/>
      <c r="N26" s="16">
        <v>1</v>
      </c>
      <c r="O26" s="16"/>
      <c r="P26" s="16"/>
      <c r="Q26" s="16"/>
      <c r="R26" s="12">
        <f t="shared" si="0"/>
        <v>6</v>
      </c>
    </row>
    <row r="27" spans="1:18" x14ac:dyDescent="0.35">
      <c r="A27" s="13">
        <v>25</v>
      </c>
      <c r="B27" s="14" t="s">
        <v>54</v>
      </c>
      <c r="C27" s="17">
        <v>5</v>
      </c>
      <c r="D27" s="16" t="s">
        <v>21</v>
      </c>
      <c r="E27" s="16"/>
      <c r="F27" s="16">
        <v>2</v>
      </c>
      <c r="G27" s="16">
        <v>1</v>
      </c>
      <c r="H27" s="16"/>
      <c r="I27" s="16"/>
      <c r="J27" s="16"/>
      <c r="K27" s="16">
        <v>1</v>
      </c>
      <c r="L27" s="15">
        <v>1</v>
      </c>
      <c r="M27" s="16"/>
      <c r="N27" s="16">
        <v>1</v>
      </c>
      <c r="O27" s="16"/>
      <c r="P27" s="16"/>
      <c r="Q27" s="16"/>
      <c r="R27" s="12">
        <f t="shared" si="0"/>
        <v>6</v>
      </c>
    </row>
    <row r="28" spans="1:18" x14ac:dyDescent="0.35">
      <c r="A28" s="13">
        <v>26</v>
      </c>
      <c r="B28" s="21" t="s">
        <v>55</v>
      </c>
      <c r="C28" s="17">
        <v>11</v>
      </c>
      <c r="D28" s="14" t="s">
        <v>56</v>
      </c>
      <c r="E28" s="16"/>
      <c r="F28" s="16">
        <v>2</v>
      </c>
      <c r="G28" s="16">
        <v>1</v>
      </c>
      <c r="H28" s="16"/>
      <c r="I28" s="16"/>
      <c r="J28" s="16"/>
      <c r="K28" s="16">
        <v>1</v>
      </c>
      <c r="L28" s="15">
        <v>1</v>
      </c>
      <c r="M28" s="16"/>
      <c r="N28" s="16">
        <v>1</v>
      </c>
      <c r="O28" s="16"/>
      <c r="P28" s="16"/>
      <c r="Q28" s="15"/>
      <c r="R28" s="12">
        <f>SUM(E28:Q28)</f>
        <v>6</v>
      </c>
    </row>
    <row r="29" spans="1:18" x14ac:dyDescent="0.35">
      <c r="A29" s="13">
        <v>27</v>
      </c>
      <c r="B29" s="14" t="s">
        <v>57</v>
      </c>
      <c r="C29" s="17">
        <v>13</v>
      </c>
      <c r="D29" s="16" t="s">
        <v>34</v>
      </c>
      <c r="E29" s="16"/>
      <c r="F29" s="16">
        <v>2</v>
      </c>
      <c r="G29" s="16">
        <v>1</v>
      </c>
      <c r="H29" s="16"/>
      <c r="I29" s="16"/>
      <c r="J29" s="16"/>
      <c r="K29" s="16">
        <v>1</v>
      </c>
      <c r="L29" s="15">
        <v>1</v>
      </c>
      <c r="M29" s="16"/>
      <c r="N29" s="16">
        <v>1</v>
      </c>
      <c r="O29" s="16"/>
      <c r="P29" s="16"/>
      <c r="Q29" s="16"/>
      <c r="R29" s="12">
        <f t="shared" si="0"/>
        <v>6</v>
      </c>
    </row>
    <row r="30" spans="1:18" x14ac:dyDescent="0.35">
      <c r="A30" s="13">
        <v>28</v>
      </c>
      <c r="B30" s="21" t="s">
        <v>58</v>
      </c>
      <c r="C30" s="17"/>
      <c r="D30" s="14" t="s">
        <v>38</v>
      </c>
      <c r="E30" s="16"/>
      <c r="F30" s="16">
        <v>3</v>
      </c>
      <c r="G30" s="16">
        <v>1</v>
      </c>
      <c r="H30" s="16"/>
      <c r="I30" s="16"/>
      <c r="J30" s="16"/>
      <c r="K30" s="16">
        <v>1</v>
      </c>
      <c r="L30" s="15">
        <v>1</v>
      </c>
      <c r="M30" s="16"/>
      <c r="N30" s="16"/>
      <c r="O30" s="16"/>
      <c r="P30" s="16"/>
      <c r="Q30" s="15"/>
      <c r="R30" s="12">
        <f t="shared" si="0"/>
        <v>6</v>
      </c>
    </row>
    <row r="31" spans="1:18" x14ac:dyDescent="0.35">
      <c r="A31" s="13">
        <v>29</v>
      </c>
      <c r="B31" s="21" t="s">
        <v>59</v>
      </c>
      <c r="C31" s="17"/>
      <c r="D31" s="16" t="s">
        <v>60</v>
      </c>
      <c r="E31" s="16"/>
      <c r="F31" s="16">
        <v>3</v>
      </c>
      <c r="G31" s="16">
        <v>1</v>
      </c>
      <c r="H31" s="16"/>
      <c r="I31" s="16"/>
      <c r="J31" s="16"/>
      <c r="K31" s="16">
        <v>1</v>
      </c>
      <c r="L31" s="15">
        <v>1</v>
      </c>
      <c r="M31" s="16"/>
      <c r="N31" s="16"/>
      <c r="O31" s="16"/>
      <c r="P31" s="16"/>
      <c r="Q31" s="15"/>
      <c r="R31" s="12">
        <f t="shared" si="0"/>
        <v>6</v>
      </c>
    </row>
    <row r="32" spans="1:18" x14ac:dyDescent="0.35">
      <c r="A32" s="13">
        <v>30</v>
      </c>
      <c r="B32" s="21" t="s">
        <v>61</v>
      </c>
      <c r="C32" s="17"/>
      <c r="D32" s="14" t="s">
        <v>36</v>
      </c>
      <c r="E32" s="16"/>
      <c r="F32" s="16">
        <v>3</v>
      </c>
      <c r="G32" s="16">
        <v>1</v>
      </c>
      <c r="H32" s="16"/>
      <c r="I32" s="16"/>
      <c r="J32" s="16"/>
      <c r="K32" s="16">
        <v>1</v>
      </c>
      <c r="L32" s="15">
        <v>1</v>
      </c>
      <c r="M32" s="16"/>
      <c r="N32" s="16"/>
      <c r="O32" s="16"/>
      <c r="P32" s="16"/>
      <c r="Q32" s="15"/>
      <c r="R32" s="12">
        <f>SUM(E32:Q32)</f>
        <v>6</v>
      </c>
    </row>
    <row r="33" spans="1:18" x14ac:dyDescent="0.35">
      <c r="A33" s="13">
        <v>31</v>
      </c>
      <c r="B33" s="21" t="s">
        <v>62</v>
      </c>
      <c r="C33" s="17"/>
      <c r="D33" s="14" t="s">
        <v>38</v>
      </c>
      <c r="E33" s="16"/>
      <c r="F33" s="16">
        <v>3</v>
      </c>
      <c r="G33" s="16">
        <v>1</v>
      </c>
      <c r="H33" s="16"/>
      <c r="I33" s="16"/>
      <c r="J33" s="16"/>
      <c r="K33" s="16">
        <v>1</v>
      </c>
      <c r="L33" s="15">
        <v>1</v>
      </c>
      <c r="M33" s="16"/>
      <c r="N33" s="16"/>
      <c r="O33" s="16"/>
      <c r="P33" s="16"/>
      <c r="Q33" s="15"/>
      <c r="R33" s="12">
        <f t="shared" ref="R33:R34" si="1">SUM(E33:Q33)</f>
        <v>6</v>
      </c>
    </row>
    <row r="34" spans="1:18" ht="15.5" x14ac:dyDescent="0.35">
      <c r="A34" s="13">
        <v>32</v>
      </c>
      <c r="B34" s="22" t="s">
        <v>63</v>
      </c>
      <c r="C34" s="17"/>
      <c r="D34" s="14" t="s">
        <v>40</v>
      </c>
      <c r="E34" s="16"/>
      <c r="F34" s="16">
        <v>3</v>
      </c>
      <c r="G34" s="16">
        <v>1</v>
      </c>
      <c r="H34" s="16"/>
      <c r="I34" s="16"/>
      <c r="J34" s="16"/>
      <c r="K34" s="16">
        <v>1</v>
      </c>
      <c r="L34" s="15">
        <v>1</v>
      </c>
      <c r="M34" s="16"/>
      <c r="N34" s="16"/>
      <c r="O34" s="16"/>
      <c r="P34" s="16"/>
      <c r="Q34" s="15"/>
      <c r="R34" s="12">
        <f t="shared" si="1"/>
        <v>6</v>
      </c>
    </row>
    <row r="35" spans="1:18" x14ac:dyDescent="0.35">
      <c r="A35" s="13">
        <v>33</v>
      </c>
      <c r="B35" s="14" t="s">
        <v>64</v>
      </c>
      <c r="C35" s="17">
        <v>16</v>
      </c>
      <c r="D35" s="14" t="s">
        <v>21</v>
      </c>
      <c r="E35" s="16"/>
      <c r="F35" s="16">
        <v>2</v>
      </c>
      <c r="G35" s="16">
        <v>1</v>
      </c>
      <c r="H35" s="16"/>
      <c r="I35" s="16"/>
      <c r="J35" s="16"/>
      <c r="K35" s="16"/>
      <c r="L35" s="15">
        <v>1</v>
      </c>
      <c r="M35" s="16"/>
      <c r="N35" s="16"/>
      <c r="O35" s="16"/>
      <c r="P35" s="16">
        <v>4</v>
      </c>
      <c r="Q35" s="16"/>
      <c r="R35" s="12">
        <f t="shared" si="0"/>
        <v>8</v>
      </c>
    </row>
    <row r="36" spans="1:18" x14ac:dyDescent="0.35">
      <c r="A36" s="13">
        <v>34</v>
      </c>
      <c r="B36" s="14" t="s">
        <v>65</v>
      </c>
      <c r="C36" s="17">
        <v>28</v>
      </c>
      <c r="D36" s="14" t="s">
        <v>21</v>
      </c>
      <c r="E36" s="16"/>
      <c r="F36" s="16">
        <v>3</v>
      </c>
      <c r="G36" s="16">
        <v>1</v>
      </c>
      <c r="H36" s="16"/>
      <c r="I36" s="16"/>
      <c r="J36" s="16"/>
      <c r="K36" s="16"/>
      <c r="L36" s="15">
        <v>1</v>
      </c>
      <c r="M36" s="16"/>
      <c r="N36" s="16"/>
      <c r="O36" s="16"/>
      <c r="P36" s="16">
        <v>4</v>
      </c>
      <c r="Q36" s="16"/>
      <c r="R36" s="12">
        <f t="shared" si="0"/>
        <v>9</v>
      </c>
    </row>
    <row r="37" spans="1:18" x14ac:dyDescent="0.35">
      <c r="A37" s="13">
        <v>35</v>
      </c>
      <c r="B37" s="14" t="s">
        <v>66</v>
      </c>
      <c r="C37" s="17">
        <v>6</v>
      </c>
      <c r="D37" s="14" t="s">
        <v>27</v>
      </c>
      <c r="E37" s="16"/>
      <c r="F37" s="16">
        <v>1</v>
      </c>
      <c r="G37" s="16">
        <v>1</v>
      </c>
      <c r="H37" s="16"/>
      <c r="I37" s="16"/>
      <c r="J37" s="16"/>
      <c r="K37" s="16"/>
      <c r="L37" s="15">
        <v>1</v>
      </c>
      <c r="M37" s="16"/>
      <c r="N37" s="16"/>
      <c r="O37" s="16"/>
      <c r="P37" s="16">
        <v>4</v>
      </c>
      <c r="Q37" s="16"/>
      <c r="R37" s="12">
        <f t="shared" si="0"/>
        <v>7</v>
      </c>
    </row>
    <row r="38" spans="1:18" x14ac:dyDescent="0.35">
      <c r="A38" s="13">
        <v>36</v>
      </c>
      <c r="B38" s="14" t="s">
        <v>67</v>
      </c>
      <c r="C38" s="17">
        <v>7</v>
      </c>
      <c r="D38" s="14" t="s">
        <v>52</v>
      </c>
      <c r="E38" s="16"/>
      <c r="F38" s="16">
        <v>1</v>
      </c>
      <c r="G38" s="16">
        <v>1</v>
      </c>
      <c r="H38" s="16"/>
      <c r="I38" s="16"/>
      <c r="J38" s="16"/>
      <c r="K38" s="16"/>
      <c r="L38" s="15">
        <v>1</v>
      </c>
      <c r="M38" s="16"/>
      <c r="N38" s="16"/>
      <c r="O38" s="16"/>
      <c r="P38" s="16">
        <v>4</v>
      </c>
      <c r="Q38" s="16"/>
      <c r="R38" s="12">
        <f t="shared" si="0"/>
        <v>7</v>
      </c>
    </row>
    <row r="39" spans="1:18" x14ac:dyDescent="0.35">
      <c r="A39" s="13">
        <v>37</v>
      </c>
      <c r="B39" s="14" t="s">
        <v>68</v>
      </c>
      <c r="C39" s="17">
        <v>7</v>
      </c>
      <c r="D39" s="14" t="s">
        <v>24</v>
      </c>
      <c r="E39" s="16"/>
      <c r="F39" s="16">
        <v>1</v>
      </c>
      <c r="G39" s="16">
        <v>1</v>
      </c>
      <c r="H39" s="16"/>
      <c r="I39" s="16"/>
      <c r="J39" s="16"/>
      <c r="K39" s="16"/>
      <c r="L39" s="15">
        <v>1</v>
      </c>
      <c r="M39" s="16"/>
      <c r="N39" s="16"/>
      <c r="O39" s="16"/>
      <c r="P39" s="16">
        <v>4</v>
      </c>
      <c r="Q39" s="16"/>
      <c r="R39" s="12">
        <f t="shared" si="0"/>
        <v>7</v>
      </c>
    </row>
    <row r="40" spans="1:18" x14ac:dyDescent="0.35">
      <c r="A40" s="13">
        <v>38</v>
      </c>
      <c r="B40" s="14" t="s">
        <v>69</v>
      </c>
      <c r="C40" s="17">
        <v>12</v>
      </c>
      <c r="D40" s="14" t="s">
        <v>34</v>
      </c>
      <c r="E40" s="16"/>
      <c r="F40" s="16">
        <v>2</v>
      </c>
      <c r="G40" s="16">
        <v>1</v>
      </c>
      <c r="H40" s="16"/>
      <c r="I40" s="16"/>
      <c r="J40" s="16"/>
      <c r="K40" s="16"/>
      <c r="L40" s="15"/>
      <c r="M40" s="16"/>
      <c r="N40" s="16"/>
      <c r="O40" s="16"/>
      <c r="P40" s="16">
        <v>4</v>
      </c>
      <c r="Q40" s="15"/>
      <c r="R40" s="12">
        <f t="shared" si="0"/>
        <v>7</v>
      </c>
    </row>
    <row r="41" spans="1:18" x14ac:dyDescent="0.35">
      <c r="A41" s="13">
        <v>39</v>
      </c>
      <c r="B41" s="14" t="s">
        <v>70</v>
      </c>
      <c r="C41" s="17">
        <v>24</v>
      </c>
      <c r="D41" s="14" t="s">
        <v>34</v>
      </c>
      <c r="E41" s="16"/>
      <c r="F41" s="16">
        <v>3</v>
      </c>
      <c r="G41" s="16">
        <v>1</v>
      </c>
      <c r="H41" s="16"/>
      <c r="I41" s="16"/>
      <c r="J41" s="16"/>
      <c r="K41" s="16"/>
      <c r="L41" s="15"/>
      <c r="M41" s="16"/>
      <c r="N41" s="16"/>
      <c r="O41" s="16"/>
      <c r="P41" s="16">
        <v>4</v>
      </c>
      <c r="Q41" s="15"/>
      <c r="R41" s="12">
        <f t="shared" si="0"/>
        <v>8</v>
      </c>
    </row>
    <row r="42" spans="1:18" x14ac:dyDescent="0.35">
      <c r="A42" s="13">
        <v>40</v>
      </c>
      <c r="B42" s="14" t="s">
        <v>71</v>
      </c>
      <c r="C42" s="17">
        <v>16</v>
      </c>
      <c r="D42" s="14" t="s">
        <v>19</v>
      </c>
      <c r="E42" s="16"/>
      <c r="F42" s="16">
        <v>2</v>
      </c>
      <c r="G42" s="16">
        <v>1</v>
      </c>
      <c r="H42" s="16"/>
      <c r="I42" s="16"/>
      <c r="J42" s="16"/>
      <c r="K42" s="16"/>
      <c r="L42" s="15"/>
      <c r="M42" s="16"/>
      <c r="N42" s="16"/>
      <c r="O42" s="16"/>
      <c r="P42" s="16">
        <v>4</v>
      </c>
      <c r="Q42" s="15"/>
      <c r="R42" s="12">
        <f t="shared" si="0"/>
        <v>7</v>
      </c>
    </row>
    <row r="43" spans="1:18" x14ac:dyDescent="0.35">
      <c r="A43" s="13">
        <v>41</v>
      </c>
      <c r="B43" s="14" t="s">
        <v>72</v>
      </c>
      <c r="C43" s="17">
        <v>10</v>
      </c>
      <c r="D43" s="14" t="s">
        <v>34</v>
      </c>
      <c r="E43" s="16"/>
      <c r="F43" s="16">
        <v>2</v>
      </c>
      <c r="G43" s="16">
        <v>1</v>
      </c>
      <c r="H43" s="16"/>
      <c r="I43" s="16"/>
      <c r="J43" s="16"/>
      <c r="K43" s="16"/>
      <c r="L43" s="15"/>
      <c r="M43" s="16"/>
      <c r="N43" s="16"/>
      <c r="O43" s="16"/>
      <c r="P43" s="16">
        <v>4</v>
      </c>
      <c r="Q43" s="15"/>
      <c r="R43" s="12">
        <f t="shared" si="0"/>
        <v>7</v>
      </c>
    </row>
    <row r="44" spans="1:18" x14ac:dyDescent="0.35">
      <c r="A44" s="13">
        <v>42</v>
      </c>
      <c r="B44" s="16" t="s">
        <v>73</v>
      </c>
      <c r="C44" s="17"/>
      <c r="D44" s="14" t="s">
        <v>74</v>
      </c>
      <c r="E44" s="16"/>
      <c r="F44" s="16"/>
      <c r="G44" s="16">
        <v>1</v>
      </c>
      <c r="H44" s="16"/>
      <c r="I44" s="16"/>
      <c r="J44" s="16"/>
      <c r="K44" s="16"/>
      <c r="L44" s="15">
        <v>1</v>
      </c>
      <c r="M44" s="16"/>
      <c r="N44" s="16"/>
      <c r="O44" s="16"/>
      <c r="P44" s="16">
        <v>5</v>
      </c>
      <c r="Q44" s="16"/>
      <c r="R44" s="12">
        <f t="shared" si="0"/>
        <v>7</v>
      </c>
    </row>
    <row r="45" spans="1:18" x14ac:dyDescent="0.35">
      <c r="A45" s="13">
        <v>43</v>
      </c>
      <c r="B45" s="23" t="s">
        <v>75</v>
      </c>
      <c r="C45" s="17"/>
      <c r="D45" s="14" t="s">
        <v>76</v>
      </c>
      <c r="E45" s="16"/>
      <c r="F45" s="16"/>
      <c r="G45" s="16">
        <v>1</v>
      </c>
      <c r="H45" s="16"/>
      <c r="I45" s="16"/>
      <c r="J45" s="16"/>
      <c r="K45" s="16"/>
      <c r="L45" s="15">
        <v>1</v>
      </c>
      <c r="M45" s="16"/>
      <c r="N45" s="16"/>
      <c r="O45" s="16"/>
      <c r="P45" s="16">
        <v>5</v>
      </c>
      <c r="Q45" s="16"/>
      <c r="R45" s="12">
        <f t="shared" si="0"/>
        <v>7</v>
      </c>
    </row>
    <row r="46" spans="1:18" x14ac:dyDescent="0.35">
      <c r="A46" s="13">
        <v>44</v>
      </c>
      <c r="B46" s="23" t="s">
        <v>77</v>
      </c>
      <c r="C46" s="17"/>
      <c r="D46" s="14" t="s">
        <v>78</v>
      </c>
      <c r="E46" s="16"/>
      <c r="F46" s="16"/>
      <c r="G46" s="16">
        <v>1</v>
      </c>
      <c r="H46" s="16"/>
      <c r="I46" s="16"/>
      <c r="J46" s="16"/>
      <c r="K46" s="16"/>
      <c r="L46" s="15">
        <v>1</v>
      </c>
      <c r="M46" s="16"/>
      <c r="N46" s="16"/>
      <c r="O46" s="16"/>
      <c r="P46" s="16">
        <v>4</v>
      </c>
      <c r="Q46" s="16"/>
      <c r="R46" s="12">
        <f t="shared" si="0"/>
        <v>6</v>
      </c>
    </row>
    <row r="47" spans="1:18" x14ac:dyDescent="0.35">
      <c r="A47" s="13">
        <v>45</v>
      </c>
      <c r="B47" s="23" t="s">
        <v>79</v>
      </c>
      <c r="C47" s="17"/>
      <c r="D47" s="14" t="s">
        <v>80</v>
      </c>
      <c r="E47" s="16"/>
      <c r="F47" s="16"/>
      <c r="G47" s="16">
        <v>1</v>
      </c>
      <c r="H47" s="16"/>
      <c r="I47" s="16"/>
      <c r="J47" s="16"/>
      <c r="K47" s="16"/>
      <c r="L47" s="15"/>
      <c r="M47" s="16"/>
      <c r="N47" s="16"/>
      <c r="O47" s="16"/>
      <c r="P47" s="16">
        <v>5</v>
      </c>
      <c r="Q47" s="16"/>
      <c r="R47" s="12">
        <f t="shared" si="0"/>
        <v>6</v>
      </c>
    </row>
    <row r="48" spans="1:18" x14ac:dyDescent="0.35">
      <c r="A48" s="13">
        <v>46</v>
      </c>
      <c r="B48" s="14" t="s">
        <v>81</v>
      </c>
      <c r="C48" s="17"/>
      <c r="D48" s="14" t="s">
        <v>36</v>
      </c>
      <c r="E48" s="16"/>
      <c r="F48" s="16"/>
      <c r="G48" s="16">
        <v>1</v>
      </c>
      <c r="H48" s="16"/>
      <c r="I48" s="16"/>
      <c r="J48" s="16"/>
      <c r="K48" s="16"/>
      <c r="L48" s="15"/>
      <c r="M48" s="16"/>
      <c r="N48" s="16"/>
      <c r="O48" s="16"/>
      <c r="P48" s="16">
        <v>4</v>
      </c>
      <c r="Q48" s="16"/>
      <c r="R48" s="12">
        <f t="shared" si="0"/>
        <v>5</v>
      </c>
    </row>
    <row r="49" spans="1:18" x14ac:dyDescent="0.35">
      <c r="A49" s="13">
        <v>47</v>
      </c>
      <c r="B49" s="14" t="s">
        <v>82</v>
      </c>
      <c r="C49" s="17"/>
      <c r="D49" s="14" t="s">
        <v>83</v>
      </c>
      <c r="E49" s="16"/>
      <c r="F49" s="16"/>
      <c r="G49" s="16">
        <v>1</v>
      </c>
      <c r="H49" s="16"/>
      <c r="I49" s="16"/>
      <c r="J49" s="16"/>
      <c r="K49" s="16"/>
      <c r="L49" s="15"/>
      <c r="M49" s="16"/>
      <c r="N49" s="16"/>
      <c r="O49" s="16"/>
      <c r="P49" s="16">
        <v>4</v>
      </c>
      <c r="Q49" s="16"/>
      <c r="R49" s="12">
        <f t="shared" si="0"/>
        <v>5</v>
      </c>
    </row>
    <row r="50" spans="1:18" x14ac:dyDescent="0.35">
      <c r="A50" s="13">
        <v>48</v>
      </c>
      <c r="B50" s="14" t="s">
        <v>84</v>
      </c>
      <c r="C50" s="17"/>
      <c r="D50" s="14" t="s">
        <v>85</v>
      </c>
      <c r="E50" s="16"/>
      <c r="F50" s="16"/>
      <c r="G50" s="16">
        <v>1</v>
      </c>
      <c r="H50" s="16"/>
      <c r="I50" s="16"/>
      <c r="J50" s="16"/>
      <c r="K50" s="16"/>
      <c r="L50" s="15"/>
      <c r="M50" s="16"/>
      <c r="N50" s="16"/>
      <c r="O50" s="16"/>
      <c r="P50" s="16">
        <v>4</v>
      </c>
      <c r="Q50" s="15"/>
      <c r="R50" s="12">
        <f>SUM(E50:Q50)</f>
        <v>5</v>
      </c>
    </row>
    <row r="51" spans="1:18" ht="13" customHeight="1" x14ac:dyDescent="0.35">
      <c r="A51" s="13">
        <v>49</v>
      </c>
      <c r="B51" s="14" t="s">
        <v>86</v>
      </c>
      <c r="C51" s="17">
        <v>6</v>
      </c>
      <c r="D51" s="14" t="s">
        <v>87</v>
      </c>
      <c r="E51" s="16"/>
      <c r="F51" s="16"/>
      <c r="G51" s="16">
        <v>1</v>
      </c>
      <c r="H51" s="16"/>
      <c r="I51" s="16"/>
      <c r="J51" s="16"/>
      <c r="K51" s="16"/>
      <c r="L51" s="15"/>
      <c r="M51" s="16"/>
      <c r="N51" s="16"/>
      <c r="O51" s="16"/>
      <c r="P51" s="16">
        <v>5</v>
      </c>
      <c r="Q51" s="15"/>
      <c r="R51" s="12">
        <f>SUM(E51:Q51)</f>
        <v>6</v>
      </c>
    </row>
    <row r="52" spans="1:18" x14ac:dyDescent="0.35">
      <c r="A52" s="13">
        <v>50</v>
      </c>
      <c r="B52" s="14" t="s">
        <v>88</v>
      </c>
      <c r="C52" s="17"/>
      <c r="D52" s="14" t="s">
        <v>36</v>
      </c>
      <c r="E52" s="16"/>
      <c r="F52" s="16"/>
      <c r="G52" s="16">
        <v>1</v>
      </c>
      <c r="H52" s="16"/>
      <c r="I52" s="16"/>
      <c r="J52" s="16"/>
      <c r="K52" s="16"/>
      <c r="L52" s="15"/>
      <c r="M52" s="16"/>
      <c r="N52" s="16"/>
      <c r="O52" s="16"/>
      <c r="P52" s="16">
        <v>4</v>
      </c>
      <c r="Q52" s="15"/>
      <c r="R52" s="12">
        <f>SUM(E52:Q52)</f>
        <v>5</v>
      </c>
    </row>
    <row r="53" spans="1:18" x14ac:dyDescent="0.35">
      <c r="A53" s="13">
        <v>51</v>
      </c>
      <c r="B53" s="18" t="s">
        <v>89</v>
      </c>
      <c r="C53" s="16"/>
      <c r="D53" s="18" t="s">
        <v>27</v>
      </c>
      <c r="E53" s="16"/>
      <c r="F53" s="16"/>
      <c r="G53" s="16">
        <v>1</v>
      </c>
      <c r="H53" s="16"/>
      <c r="I53" s="16"/>
      <c r="J53" s="16"/>
      <c r="K53" s="16"/>
      <c r="L53" s="15"/>
      <c r="M53" s="16"/>
      <c r="N53" s="16"/>
      <c r="O53" s="16"/>
      <c r="P53" s="16">
        <v>4</v>
      </c>
      <c r="Q53" s="15"/>
      <c r="R53" s="12">
        <f t="shared" si="0"/>
        <v>5</v>
      </c>
    </row>
    <row r="54" spans="1:18" ht="17" customHeight="1" x14ac:dyDescent="0.35">
      <c r="A54" s="13">
        <v>52</v>
      </c>
      <c r="B54" s="24" t="s">
        <v>90</v>
      </c>
      <c r="C54" s="16"/>
      <c r="D54" s="24" t="s">
        <v>27</v>
      </c>
      <c r="E54" s="16"/>
      <c r="F54" s="16"/>
      <c r="G54" s="16">
        <v>1</v>
      </c>
      <c r="H54" s="16"/>
      <c r="I54" s="16"/>
      <c r="J54" s="16"/>
      <c r="K54" s="16"/>
      <c r="L54" s="15"/>
      <c r="M54" s="16"/>
      <c r="N54" s="16"/>
      <c r="O54" s="16"/>
      <c r="P54" s="16">
        <v>4</v>
      </c>
      <c r="Q54" s="16"/>
      <c r="R54" s="12">
        <f t="shared" si="0"/>
        <v>5</v>
      </c>
    </row>
    <row r="55" spans="1:18" x14ac:dyDescent="0.35">
      <c r="A55" s="13">
        <v>53</v>
      </c>
      <c r="B55" s="24" t="s">
        <v>91</v>
      </c>
      <c r="C55" s="16"/>
      <c r="D55" s="24" t="s">
        <v>27</v>
      </c>
      <c r="E55" s="16"/>
      <c r="F55" s="16"/>
      <c r="G55" s="16">
        <v>1</v>
      </c>
      <c r="H55" s="16"/>
      <c r="I55" s="16"/>
      <c r="J55" s="16"/>
      <c r="K55" s="16"/>
      <c r="L55" s="15"/>
      <c r="M55" s="16"/>
      <c r="N55" s="16"/>
      <c r="O55" s="16"/>
      <c r="P55" s="16">
        <v>4</v>
      </c>
      <c r="Q55" s="16"/>
      <c r="R55" s="12">
        <f t="shared" si="0"/>
        <v>5</v>
      </c>
    </row>
    <row r="56" spans="1:18" x14ac:dyDescent="0.35">
      <c r="A56" s="13">
        <v>54</v>
      </c>
      <c r="B56" s="18" t="s">
        <v>92</v>
      </c>
      <c r="C56" s="16"/>
      <c r="D56" s="18" t="s">
        <v>27</v>
      </c>
      <c r="E56" s="16"/>
      <c r="F56" s="16"/>
      <c r="G56" s="16">
        <v>1</v>
      </c>
      <c r="H56" s="16"/>
      <c r="I56" s="16"/>
      <c r="J56" s="16"/>
      <c r="K56" s="16"/>
      <c r="L56" s="15"/>
      <c r="M56" s="16"/>
      <c r="N56" s="16"/>
      <c r="O56" s="16"/>
      <c r="P56" s="16">
        <v>4</v>
      </c>
      <c r="Q56" s="16"/>
      <c r="R56" s="12">
        <f t="shared" si="0"/>
        <v>5</v>
      </c>
    </row>
    <row r="57" spans="1:18" x14ac:dyDescent="0.35">
      <c r="A57" s="13">
        <v>55</v>
      </c>
      <c r="B57" s="24" t="s">
        <v>93</v>
      </c>
      <c r="C57" s="16"/>
      <c r="D57" s="24" t="s">
        <v>27</v>
      </c>
      <c r="E57" s="16"/>
      <c r="F57" s="16"/>
      <c r="G57" s="16">
        <v>1</v>
      </c>
      <c r="H57" s="16"/>
      <c r="I57" s="16"/>
      <c r="J57" s="16"/>
      <c r="K57" s="16"/>
      <c r="L57" s="15"/>
      <c r="M57" s="16"/>
      <c r="N57" s="16"/>
      <c r="O57" s="16"/>
      <c r="P57" s="16">
        <v>4</v>
      </c>
      <c r="Q57" s="16"/>
      <c r="R57" s="12">
        <f t="shared" si="0"/>
        <v>5</v>
      </c>
    </row>
    <row r="58" spans="1:18" ht="15.5" customHeight="1" x14ac:dyDescent="0.35">
      <c r="A58" s="13">
        <v>56</v>
      </c>
      <c r="B58" s="18" t="s">
        <v>94</v>
      </c>
      <c r="C58" s="16"/>
      <c r="D58" s="18" t="s">
        <v>27</v>
      </c>
      <c r="E58" s="16"/>
      <c r="F58" s="16"/>
      <c r="G58" s="16">
        <v>1</v>
      </c>
      <c r="H58" s="16"/>
      <c r="I58" s="16"/>
      <c r="J58" s="16"/>
      <c r="K58" s="16"/>
      <c r="L58" s="15"/>
      <c r="M58" s="16"/>
      <c r="N58" s="16"/>
      <c r="O58" s="16"/>
      <c r="P58" s="16">
        <v>4</v>
      </c>
      <c r="Q58" s="16"/>
      <c r="R58" s="12">
        <f t="shared" si="0"/>
        <v>5</v>
      </c>
    </row>
    <row r="59" spans="1:18" x14ac:dyDescent="0.35">
      <c r="A59" s="13">
        <v>57</v>
      </c>
      <c r="B59" s="24" t="s">
        <v>95</v>
      </c>
      <c r="C59" s="16"/>
      <c r="D59" s="24" t="s">
        <v>27</v>
      </c>
      <c r="E59" s="16"/>
      <c r="F59" s="16"/>
      <c r="G59" s="16">
        <v>1</v>
      </c>
      <c r="H59" s="16"/>
      <c r="I59" s="16"/>
      <c r="J59" s="16"/>
      <c r="K59" s="16"/>
      <c r="L59" s="15"/>
      <c r="M59" s="16"/>
      <c r="N59" s="16"/>
      <c r="O59" s="16"/>
      <c r="P59" s="16">
        <v>4</v>
      </c>
      <c r="Q59" s="16"/>
      <c r="R59" s="12">
        <f t="shared" si="0"/>
        <v>5</v>
      </c>
    </row>
    <row r="60" spans="1:18" x14ac:dyDescent="0.35">
      <c r="A60" s="13">
        <v>58</v>
      </c>
      <c r="B60" s="18" t="s">
        <v>96</v>
      </c>
      <c r="C60" s="18"/>
      <c r="D60" s="24" t="s">
        <v>21</v>
      </c>
      <c r="E60" s="16"/>
      <c r="F60" s="16"/>
      <c r="G60" s="16">
        <v>1</v>
      </c>
      <c r="H60" s="16"/>
      <c r="I60" s="16"/>
      <c r="J60" s="16"/>
      <c r="K60" s="16"/>
      <c r="L60" s="15"/>
      <c r="M60" s="16"/>
      <c r="N60" s="16"/>
      <c r="O60" s="16"/>
      <c r="P60" s="16">
        <v>4</v>
      </c>
      <c r="Q60" s="16"/>
      <c r="R60" s="12">
        <f t="shared" si="0"/>
        <v>5</v>
      </c>
    </row>
    <row r="61" spans="1:18" x14ac:dyDescent="0.35">
      <c r="A61" s="13">
        <v>59</v>
      </c>
      <c r="B61" s="18" t="s">
        <v>97</v>
      </c>
      <c r="C61" s="18"/>
      <c r="D61" s="24" t="s">
        <v>21</v>
      </c>
      <c r="E61" s="16"/>
      <c r="F61" s="16"/>
      <c r="G61" s="16">
        <v>1</v>
      </c>
      <c r="H61" s="16"/>
      <c r="I61" s="16"/>
      <c r="J61" s="16"/>
      <c r="K61" s="16"/>
      <c r="L61" s="15"/>
      <c r="M61" s="16"/>
      <c r="N61" s="16"/>
      <c r="O61" s="16"/>
      <c r="P61" s="16">
        <v>4</v>
      </c>
      <c r="Q61" s="16"/>
      <c r="R61" s="12">
        <f t="shared" si="0"/>
        <v>5</v>
      </c>
    </row>
    <row r="62" spans="1:18" x14ac:dyDescent="0.35">
      <c r="A62" s="13">
        <v>60</v>
      </c>
      <c r="B62" s="24" t="s">
        <v>98</v>
      </c>
      <c r="C62" s="24"/>
      <c r="D62" s="24" t="s">
        <v>21</v>
      </c>
      <c r="E62" s="16"/>
      <c r="F62" s="16"/>
      <c r="G62" s="16">
        <v>1</v>
      </c>
      <c r="H62" s="16"/>
      <c r="I62" s="16"/>
      <c r="J62" s="16"/>
      <c r="K62" s="16"/>
      <c r="L62" s="15"/>
      <c r="M62" s="16"/>
      <c r="N62" s="16"/>
      <c r="O62" s="16"/>
      <c r="P62" s="16">
        <v>4</v>
      </c>
      <c r="Q62" s="16"/>
      <c r="R62" s="12">
        <f t="shared" si="0"/>
        <v>5</v>
      </c>
    </row>
    <row r="63" spans="1:18" x14ac:dyDescent="0.35">
      <c r="A63" s="13">
        <v>61</v>
      </c>
      <c r="B63" s="18" t="s">
        <v>99</v>
      </c>
      <c r="C63" s="16"/>
      <c r="D63" s="24" t="s">
        <v>21</v>
      </c>
      <c r="E63" s="16"/>
      <c r="F63" s="16"/>
      <c r="G63" s="16">
        <v>1</v>
      </c>
      <c r="H63" s="16"/>
      <c r="I63" s="16"/>
      <c r="J63" s="16"/>
      <c r="K63" s="16"/>
      <c r="L63" s="15"/>
      <c r="M63" s="16"/>
      <c r="N63" s="16"/>
      <c r="O63" s="16"/>
      <c r="P63" s="16">
        <v>4</v>
      </c>
      <c r="Q63" s="16"/>
      <c r="R63" s="12">
        <f t="shared" si="0"/>
        <v>5</v>
      </c>
    </row>
    <row r="64" spans="1:18" x14ac:dyDescent="0.35">
      <c r="A64" s="13">
        <v>62</v>
      </c>
      <c r="B64" s="18" t="s">
        <v>100</v>
      </c>
      <c r="C64" s="18"/>
      <c r="D64" s="24" t="s">
        <v>24</v>
      </c>
      <c r="E64" s="16"/>
      <c r="F64" s="16"/>
      <c r="G64" s="16">
        <v>1</v>
      </c>
      <c r="H64" s="16"/>
      <c r="I64" s="16"/>
      <c r="J64" s="16"/>
      <c r="K64" s="16"/>
      <c r="L64" s="15"/>
      <c r="M64" s="16"/>
      <c r="N64" s="16"/>
      <c r="O64" s="16"/>
      <c r="P64" s="16">
        <v>4</v>
      </c>
      <c r="Q64" s="16"/>
      <c r="R64" s="12">
        <f t="shared" si="0"/>
        <v>5</v>
      </c>
    </row>
    <row r="65" spans="1:18" x14ac:dyDescent="0.35">
      <c r="A65" s="13">
        <v>63</v>
      </c>
      <c r="B65" s="14" t="s">
        <v>101</v>
      </c>
      <c r="C65" s="14">
        <v>30</v>
      </c>
      <c r="D65" s="14" t="s">
        <v>24</v>
      </c>
      <c r="E65" s="16"/>
      <c r="F65" s="16"/>
      <c r="G65" s="16">
        <v>1</v>
      </c>
      <c r="H65" s="16"/>
      <c r="I65" s="16"/>
      <c r="J65" s="16">
        <v>1</v>
      </c>
      <c r="K65" s="16">
        <v>1</v>
      </c>
      <c r="L65" s="15"/>
      <c r="M65" s="16"/>
      <c r="N65" s="16">
        <v>3</v>
      </c>
      <c r="O65" s="16">
        <v>6</v>
      </c>
      <c r="P65" s="16"/>
      <c r="Q65" s="16"/>
      <c r="R65" s="12">
        <f t="shared" si="0"/>
        <v>12</v>
      </c>
    </row>
    <row r="66" spans="1:18" x14ac:dyDescent="0.35">
      <c r="A66" s="13">
        <v>64</v>
      </c>
      <c r="B66" s="14" t="s">
        <v>102</v>
      </c>
      <c r="C66" s="16">
        <v>12</v>
      </c>
      <c r="D66" s="25" t="s">
        <v>38</v>
      </c>
      <c r="E66" s="16"/>
      <c r="F66" s="16"/>
      <c r="G66" s="16">
        <v>1</v>
      </c>
      <c r="H66" s="16"/>
      <c r="I66" s="16"/>
      <c r="J66" s="16">
        <v>1</v>
      </c>
      <c r="K66" s="16">
        <v>1</v>
      </c>
      <c r="L66" s="15"/>
      <c r="M66" s="16"/>
      <c r="N66" s="16">
        <v>3</v>
      </c>
      <c r="O66" s="16">
        <v>6</v>
      </c>
      <c r="P66" s="16"/>
      <c r="Q66" s="16"/>
      <c r="R66" s="12">
        <f t="shared" si="0"/>
        <v>12</v>
      </c>
    </row>
    <row r="67" spans="1:18" x14ac:dyDescent="0.35">
      <c r="A67" s="13">
        <v>65</v>
      </c>
      <c r="B67" s="14" t="s">
        <v>103</v>
      </c>
      <c r="C67" s="16">
        <v>22</v>
      </c>
      <c r="D67" s="25" t="s">
        <v>38</v>
      </c>
      <c r="E67" s="16"/>
      <c r="F67" s="16"/>
      <c r="G67" s="16">
        <v>1</v>
      </c>
      <c r="H67" s="16"/>
      <c r="I67" s="16"/>
      <c r="J67" s="16">
        <v>1</v>
      </c>
      <c r="K67" s="16">
        <v>1</v>
      </c>
      <c r="L67" s="15"/>
      <c r="M67" s="16"/>
      <c r="N67" s="16">
        <v>3</v>
      </c>
      <c r="O67" s="16">
        <v>6</v>
      </c>
      <c r="P67" s="16"/>
      <c r="Q67" s="16"/>
      <c r="R67" s="12">
        <f t="shared" ref="R67:R85" si="2">SUM(E67:Q67)</f>
        <v>12</v>
      </c>
    </row>
    <row r="68" spans="1:18" x14ac:dyDescent="0.35">
      <c r="A68" s="13">
        <v>66</v>
      </c>
      <c r="B68" s="14" t="s">
        <v>104</v>
      </c>
      <c r="C68" s="16"/>
      <c r="D68" s="25" t="s">
        <v>27</v>
      </c>
      <c r="E68" s="16"/>
      <c r="F68" s="16"/>
      <c r="G68" s="16">
        <v>2</v>
      </c>
      <c r="H68" s="16"/>
      <c r="I68" s="16"/>
      <c r="J68" s="16">
        <v>1</v>
      </c>
      <c r="K68" s="16">
        <v>1</v>
      </c>
      <c r="L68" s="15"/>
      <c r="M68" s="16"/>
      <c r="N68" s="16">
        <v>2</v>
      </c>
      <c r="O68" s="16">
        <v>4</v>
      </c>
      <c r="P68" s="16"/>
      <c r="Q68" s="16"/>
      <c r="R68" s="12">
        <f t="shared" si="2"/>
        <v>10</v>
      </c>
    </row>
    <row r="69" spans="1:18" x14ac:dyDescent="0.35">
      <c r="A69" s="13">
        <v>67</v>
      </c>
      <c r="B69" s="14" t="s">
        <v>105</v>
      </c>
      <c r="C69" s="16"/>
      <c r="D69" s="25" t="s">
        <v>106</v>
      </c>
      <c r="E69" s="16"/>
      <c r="F69" s="16"/>
      <c r="G69" s="16">
        <v>2</v>
      </c>
      <c r="H69" s="16"/>
      <c r="I69" s="16"/>
      <c r="J69" s="16">
        <v>1</v>
      </c>
      <c r="K69" s="16">
        <v>1</v>
      </c>
      <c r="L69" s="15"/>
      <c r="M69" s="16"/>
      <c r="N69" s="16">
        <v>2</v>
      </c>
      <c r="O69" s="16">
        <v>6</v>
      </c>
      <c r="P69" s="16"/>
      <c r="Q69" s="16"/>
      <c r="R69" s="12">
        <f t="shared" si="2"/>
        <v>12</v>
      </c>
    </row>
    <row r="70" spans="1:18" x14ac:dyDescent="0.35">
      <c r="A70" s="13">
        <v>68</v>
      </c>
      <c r="B70" s="14" t="s">
        <v>107</v>
      </c>
      <c r="C70" s="16"/>
      <c r="D70" s="25" t="s">
        <v>32</v>
      </c>
      <c r="E70" s="16"/>
      <c r="F70" s="16"/>
      <c r="G70" s="16">
        <v>1</v>
      </c>
      <c r="H70" s="16"/>
      <c r="I70" s="16"/>
      <c r="J70" s="16">
        <v>1</v>
      </c>
      <c r="K70" s="16">
        <v>1</v>
      </c>
      <c r="L70" s="15"/>
      <c r="M70" s="16"/>
      <c r="N70" s="16">
        <v>3</v>
      </c>
      <c r="O70" s="16">
        <v>6</v>
      </c>
      <c r="P70" s="16"/>
      <c r="Q70" s="16"/>
      <c r="R70" s="12">
        <f t="shared" si="2"/>
        <v>12</v>
      </c>
    </row>
    <row r="71" spans="1:18" x14ac:dyDescent="0.35">
      <c r="A71" s="13">
        <v>69</v>
      </c>
      <c r="B71" s="14" t="s">
        <v>108</v>
      </c>
      <c r="C71" s="16">
        <v>10</v>
      </c>
      <c r="D71" s="25" t="s">
        <v>109</v>
      </c>
      <c r="E71" s="16"/>
      <c r="F71" s="16"/>
      <c r="G71" s="16">
        <v>2</v>
      </c>
      <c r="H71" s="16"/>
      <c r="I71" s="16"/>
      <c r="J71" s="16"/>
      <c r="K71" s="16">
        <v>1</v>
      </c>
      <c r="L71" s="15">
        <v>1</v>
      </c>
      <c r="M71" s="16"/>
      <c r="N71" s="16">
        <v>1</v>
      </c>
      <c r="O71" s="16">
        <v>5</v>
      </c>
      <c r="P71" s="16"/>
      <c r="Q71" s="16"/>
      <c r="R71" s="12">
        <f t="shared" si="2"/>
        <v>10</v>
      </c>
    </row>
    <row r="72" spans="1:18" x14ac:dyDescent="0.35">
      <c r="A72" s="13">
        <v>70</v>
      </c>
      <c r="B72" s="14" t="s">
        <v>110</v>
      </c>
      <c r="C72" s="16"/>
      <c r="D72" s="25" t="s">
        <v>109</v>
      </c>
      <c r="E72" s="16"/>
      <c r="F72" s="16"/>
      <c r="G72" s="16">
        <v>2</v>
      </c>
      <c r="H72" s="16"/>
      <c r="I72" s="16">
        <v>1</v>
      </c>
      <c r="J72" s="16"/>
      <c r="K72" s="16">
        <v>1</v>
      </c>
      <c r="L72" s="15">
        <v>1</v>
      </c>
      <c r="M72" s="16"/>
      <c r="N72" s="16">
        <v>2</v>
      </c>
      <c r="O72" s="16"/>
      <c r="P72" s="16"/>
      <c r="Q72" s="16"/>
      <c r="R72" s="12">
        <f t="shared" si="2"/>
        <v>7</v>
      </c>
    </row>
    <row r="73" spans="1:18" x14ac:dyDescent="0.35">
      <c r="A73" s="13">
        <v>71</v>
      </c>
      <c r="B73" s="14" t="s">
        <v>111</v>
      </c>
      <c r="C73" s="14"/>
      <c r="D73" s="14" t="s">
        <v>112</v>
      </c>
      <c r="E73" s="16"/>
      <c r="F73" s="16"/>
      <c r="G73" s="16">
        <v>2</v>
      </c>
      <c r="H73" s="16"/>
      <c r="I73" s="16">
        <v>1</v>
      </c>
      <c r="J73" s="16"/>
      <c r="K73" s="16">
        <v>1</v>
      </c>
      <c r="L73" s="15">
        <v>1</v>
      </c>
      <c r="M73" s="16"/>
      <c r="N73" s="16">
        <v>2</v>
      </c>
      <c r="O73" s="16"/>
      <c r="P73" s="16"/>
      <c r="Q73" s="16"/>
      <c r="R73" s="12">
        <f t="shared" si="2"/>
        <v>7</v>
      </c>
    </row>
    <row r="74" spans="1:18" x14ac:dyDescent="0.35">
      <c r="A74" s="13">
        <v>72</v>
      </c>
      <c r="B74" s="16" t="s">
        <v>113</v>
      </c>
      <c r="C74" s="14"/>
      <c r="D74" s="14" t="s">
        <v>30</v>
      </c>
      <c r="E74" s="16"/>
      <c r="F74" s="16"/>
      <c r="G74" s="16">
        <v>2</v>
      </c>
      <c r="H74" s="16"/>
      <c r="I74" s="16"/>
      <c r="J74" s="16"/>
      <c r="K74" s="16">
        <v>1</v>
      </c>
      <c r="L74" s="15">
        <v>1</v>
      </c>
      <c r="M74" s="16"/>
      <c r="N74" s="16">
        <v>1</v>
      </c>
      <c r="O74" s="16"/>
      <c r="P74" s="16"/>
      <c r="Q74" s="16"/>
      <c r="R74" s="12">
        <f t="shared" si="2"/>
        <v>5</v>
      </c>
    </row>
    <row r="75" spans="1:18" x14ac:dyDescent="0.35">
      <c r="A75" s="13">
        <v>73</v>
      </c>
      <c r="B75" s="16" t="s">
        <v>114</v>
      </c>
      <c r="C75" s="14"/>
      <c r="D75" s="14" t="s">
        <v>24</v>
      </c>
      <c r="E75" s="16"/>
      <c r="F75" s="16"/>
      <c r="G75" s="16">
        <v>2</v>
      </c>
      <c r="H75" s="16"/>
      <c r="I75" s="16"/>
      <c r="J75" s="16"/>
      <c r="K75" s="16">
        <v>1</v>
      </c>
      <c r="L75" s="15">
        <v>1</v>
      </c>
      <c r="M75" s="16"/>
      <c r="N75" s="16">
        <v>1</v>
      </c>
      <c r="O75" s="16"/>
      <c r="P75" s="16"/>
      <c r="Q75" s="16"/>
      <c r="R75" s="12">
        <f t="shared" si="2"/>
        <v>5</v>
      </c>
    </row>
    <row r="76" spans="1:18" x14ac:dyDescent="0.35">
      <c r="A76" s="13">
        <v>74</v>
      </c>
      <c r="B76" s="14" t="s">
        <v>115</v>
      </c>
      <c r="C76" s="14"/>
      <c r="D76" s="14" t="s">
        <v>24</v>
      </c>
      <c r="E76" s="16"/>
      <c r="F76" s="16"/>
      <c r="G76" s="16">
        <v>2</v>
      </c>
      <c r="H76" s="16"/>
      <c r="I76" s="16"/>
      <c r="J76" s="16"/>
      <c r="K76" s="16">
        <v>1</v>
      </c>
      <c r="L76" s="15">
        <v>1</v>
      </c>
      <c r="M76" s="16"/>
      <c r="N76" s="16">
        <v>1</v>
      </c>
      <c r="O76" s="16"/>
      <c r="P76" s="16"/>
      <c r="Q76" s="16"/>
      <c r="R76" s="12">
        <f t="shared" si="2"/>
        <v>5</v>
      </c>
    </row>
    <row r="77" spans="1:18" x14ac:dyDescent="0.35">
      <c r="A77" s="13">
        <v>75</v>
      </c>
      <c r="B77" s="16" t="s">
        <v>116</v>
      </c>
      <c r="C77" s="14"/>
      <c r="D77" s="14" t="s">
        <v>21</v>
      </c>
      <c r="E77" s="16"/>
      <c r="F77" s="16"/>
      <c r="G77" s="16">
        <v>2</v>
      </c>
      <c r="H77" s="16"/>
      <c r="I77" s="16"/>
      <c r="J77" s="16"/>
      <c r="K77" s="16">
        <v>1</v>
      </c>
      <c r="L77" s="15">
        <v>1</v>
      </c>
      <c r="M77" s="16"/>
      <c r="N77" s="16">
        <v>1</v>
      </c>
      <c r="O77" s="16"/>
      <c r="P77" s="16"/>
      <c r="Q77" s="16"/>
      <c r="R77" s="12">
        <f t="shared" si="2"/>
        <v>5</v>
      </c>
    </row>
    <row r="78" spans="1:18" x14ac:dyDescent="0.35">
      <c r="A78" s="13">
        <v>76</v>
      </c>
      <c r="B78" s="16" t="s">
        <v>117</v>
      </c>
      <c r="C78" s="17"/>
      <c r="D78" s="14" t="s">
        <v>78</v>
      </c>
      <c r="E78" s="16"/>
      <c r="F78" s="16"/>
      <c r="G78" s="16">
        <v>2</v>
      </c>
      <c r="H78" s="16"/>
      <c r="I78" s="16"/>
      <c r="J78" s="16"/>
      <c r="K78" s="16">
        <v>2</v>
      </c>
      <c r="L78" s="15"/>
      <c r="M78" s="16"/>
      <c r="N78" s="16">
        <v>1</v>
      </c>
      <c r="O78" s="16"/>
      <c r="P78" s="16"/>
      <c r="Q78" s="15"/>
      <c r="R78" s="12">
        <f>SUM(E78:Q78)</f>
        <v>5</v>
      </c>
    </row>
    <row r="79" spans="1:18" x14ac:dyDescent="0.35">
      <c r="A79" s="13">
        <v>77</v>
      </c>
      <c r="B79" s="16" t="s">
        <v>118</v>
      </c>
      <c r="C79" s="17"/>
      <c r="D79" s="14" t="s">
        <v>119</v>
      </c>
      <c r="E79" s="16"/>
      <c r="F79" s="16">
        <v>2</v>
      </c>
      <c r="G79" s="16">
        <v>2</v>
      </c>
      <c r="H79" s="16"/>
      <c r="I79" s="16"/>
      <c r="J79" s="16"/>
      <c r="K79" s="16">
        <v>1</v>
      </c>
      <c r="L79" s="15">
        <v>1</v>
      </c>
      <c r="M79" s="16">
        <v>1</v>
      </c>
      <c r="N79" s="16">
        <v>1</v>
      </c>
      <c r="O79" s="16"/>
      <c r="P79" s="16"/>
      <c r="Q79" s="15"/>
      <c r="R79" s="12">
        <f>SUM(E79:Q79)</f>
        <v>8</v>
      </c>
    </row>
    <row r="80" spans="1:18" x14ac:dyDescent="0.35">
      <c r="A80" s="13">
        <v>78</v>
      </c>
      <c r="B80" s="16" t="s">
        <v>120</v>
      </c>
      <c r="C80" s="17">
        <v>10</v>
      </c>
      <c r="D80" s="14" t="s">
        <v>40</v>
      </c>
      <c r="E80" s="16"/>
      <c r="F80" s="16"/>
      <c r="G80" s="16">
        <v>1</v>
      </c>
      <c r="H80" s="16"/>
      <c r="I80" s="16"/>
      <c r="J80" s="16"/>
      <c r="K80" s="16"/>
      <c r="L80" s="16"/>
      <c r="M80" s="16"/>
      <c r="N80" s="16"/>
      <c r="O80" s="16"/>
      <c r="P80" s="16"/>
      <c r="Q80" s="15">
        <v>5</v>
      </c>
      <c r="R80" s="12">
        <f t="shared" si="2"/>
        <v>6</v>
      </c>
    </row>
    <row r="81" spans="1:18" x14ac:dyDescent="0.35">
      <c r="A81" s="13">
        <v>79</v>
      </c>
      <c r="B81" s="16" t="s">
        <v>121</v>
      </c>
      <c r="C81" s="17">
        <v>6</v>
      </c>
      <c r="D81" s="14" t="s">
        <v>122</v>
      </c>
      <c r="E81" s="16"/>
      <c r="F81" s="16"/>
      <c r="G81" s="16">
        <v>1</v>
      </c>
      <c r="H81" s="16"/>
      <c r="I81" s="16"/>
      <c r="J81" s="16"/>
      <c r="K81" s="16"/>
      <c r="L81" s="16"/>
      <c r="M81" s="16"/>
      <c r="N81" s="16"/>
      <c r="O81" s="16"/>
      <c r="P81" s="16"/>
      <c r="Q81" s="15">
        <v>6</v>
      </c>
      <c r="R81" s="12">
        <f t="shared" si="2"/>
        <v>7</v>
      </c>
    </row>
    <row r="82" spans="1:18" x14ac:dyDescent="0.35">
      <c r="A82" s="13">
        <v>80</v>
      </c>
      <c r="B82" s="16" t="s">
        <v>123</v>
      </c>
      <c r="C82" s="17">
        <v>6</v>
      </c>
      <c r="D82" s="14" t="s">
        <v>124</v>
      </c>
      <c r="E82" s="16"/>
      <c r="F82" s="16"/>
      <c r="G82" s="16">
        <v>1</v>
      </c>
      <c r="H82" s="16"/>
      <c r="I82" s="16"/>
      <c r="J82" s="16"/>
      <c r="K82" s="16"/>
      <c r="L82" s="16"/>
      <c r="M82" s="16"/>
      <c r="N82" s="16"/>
      <c r="O82" s="16"/>
      <c r="P82" s="16"/>
      <c r="Q82" s="15">
        <v>6</v>
      </c>
      <c r="R82" s="12">
        <f t="shared" si="2"/>
        <v>7</v>
      </c>
    </row>
    <row r="83" spans="1:18" x14ac:dyDescent="0.35">
      <c r="A83" s="13">
        <v>81</v>
      </c>
      <c r="B83" s="16" t="s">
        <v>125</v>
      </c>
      <c r="C83" s="17">
        <v>11</v>
      </c>
      <c r="D83" s="14" t="s">
        <v>24</v>
      </c>
      <c r="E83" s="16"/>
      <c r="F83" s="16"/>
      <c r="G83" s="16">
        <v>1</v>
      </c>
      <c r="H83" s="16"/>
      <c r="I83" s="16"/>
      <c r="J83" s="16"/>
      <c r="K83" s="16"/>
      <c r="L83" s="16"/>
      <c r="M83" s="16"/>
      <c r="N83" s="16"/>
      <c r="O83" s="16"/>
      <c r="P83" s="16"/>
      <c r="Q83" s="15">
        <v>6</v>
      </c>
      <c r="R83" s="12">
        <f t="shared" si="2"/>
        <v>7</v>
      </c>
    </row>
    <row r="84" spans="1:18" x14ac:dyDescent="0.35">
      <c r="A84" s="13">
        <v>82</v>
      </c>
      <c r="B84" s="16" t="s">
        <v>126</v>
      </c>
      <c r="C84" s="17">
        <v>5</v>
      </c>
      <c r="D84" s="14" t="s">
        <v>40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5">
        <v>5</v>
      </c>
      <c r="R84" s="12">
        <f t="shared" si="2"/>
        <v>5</v>
      </c>
    </row>
    <row r="85" spans="1:18" x14ac:dyDescent="0.35">
      <c r="A85" s="13">
        <v>83</v>
      </c>
      <c r="B85" s="26" t="s">
        <v>127</v>
      </c>
      <c r="C85" s="27">
        <v>5</v>
      </c>
      <c r="D85" s="28" t="s">
        <v>128</v>
      </c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9">
        <v>5</v>
      </c>
      <c r="R85" s="30">
        <f t="shared" si="2"/>
        <v>5</v>
      </c>
    </row>
    <row r="86" spans="1:18" x14ac:dyDescent="0.35">
      <c r="A86" s="13">
        <v>84</v>
      </c>
      <c r="B86" s="16" t="s">
        <v>129</v>
      </c>
      <c r="C86" s="17">
        <v>5</v>
      </c>
      <c r="D86" s="14" t="s">
        <v>130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5">
        <v>6</v>
      </c>
      <c r="R86" s="12">
        <f>SUM(E86:Q86)</f>
        <v>6</v>
      </c>
    </row>
    <row r="87" spans="1:18" x14ac:dyDescent="0.35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31"/>
    </row>
    <row r="88" spans="1:18" ht="18" customHeight="1" x14ac:dyDescent="0.35">
      <c r="A88" s="32" t="s">
        <v>131</v>
      </c>
      <c r="B88" s="16"/>
      <c r="C88" s="16"/>
      <c r="D88" s="16"/>
      <c r="E88" s="33">
        <f>SUM(E3:E87)</f>
        <v>3</v>
      </c>
      <c r="F88" s="33">
        <f>SUM(F3:F87)</f>
        <v>101</v>
      </c>
      <c r="G88" s="33">
        <f>SUM(G3:G87)</f>
        <v>92</v>
      </c>
      <c r="H88" s="33">
        <f>SUM(H3:H87)</f>
        <v>0</v>
      </c>
      <c r="I88" s="33">
        <f>SUM(I3:I87)</f>
        <v>12</v>
      </c>
      <c r="J88" s="33">
        <f>SUM(J3:J87)</f>
        <v>14</v>
      </c>
      <c r="K88" s="33">
        <f>SUM(K3:K87)</f>
        <v>46</v>
      </c>
      <c r="L88" s="33">
        <f>SUM(L3:L87)</f>
        <v>48</v>
      </c>
      <c r="M88" s="33">
        <f>SUM(M3:M87)</f>
        <v>14</v>
      </c>
      <c r="N88" s="33">
        <f>SUM(N3:N87)</f>
        <v>44</v>
      </c>
      <c r="O88" s="33">
        <f>SUM(O3:O87)</f>
        <v>39</v>
      </c>
      <c r="P88" s="33">
        <f>SUM(P3:P87)</f>
        <v>124</v>
      </c>
      <c r="Q88" s="33">
        <f>SUM(Q3:Q87)</f>
        <v>39</v>
      </c>
      <c r="R88" s="33">
        <f>SUM(R3:R86)</f>
        <v>576</v>
      </c>
    </row>
    <row r="89" spans="1:18" x14ac:dyDescent="0.35">
      <c r="A89" s="32" t="s">
        <v>132</v>
      </c>
      <c r="B89" s="16"/>
      <c r="C89" s="16"/>
      <c r="D89" s="16"/>
      <c r="E89" s="33">
        <f>E2-E88</f>
        <v>0</v>
      </c>
      <c r="F89" s="33">
        <f>F2-F88</f>
        <v>0</v>
      </c>
      <c r="G89" s="33">
        <f>G2-G88</f>
        <v>0</v>
      </c>
      <c r="H89" s="33">
        <f>H2-H88</f>
        <v>0</v>
      </c>
      <c r="I89" s="33">
        <f>I2-I88</f>
        <v>0</v>
      </c>
      <c r="J89" s="33">
        <f>J2-J88</f>
        <v>0</v>
      </c>
      <c r="K89" s="33">
        <f>K2-K88</f>
        <v>0</v>
      </c>
      <c r="L89" s="33">
        <f>L2-L88</f>
        <v>0</v>
      </c>
      <c r="M89" s="33">
        <f>M2-M88</f>
        <v>0</v>
      </c>
      <c r="N89" s="33">
        <f>N2-N88</f>
        <v>0</v>
      </c>
      <c r="O89" s="33">
        <f>O2-O88</f>
        <v>0</v>
      </c>
      <c r="P89" s="33">
        <f>P2-P88</f>
        <v>0</v>
      </c>
      <c r="Q89" s="33">
        <f>Q2-Q88</f>
        <v>0</v>
      </c>
      <c r="R89" s="33">
        <f>R2-R88</f>
        <v>0</v>
      </c>
    </row>
    <row r="90" spans="1:18" x14ac:dyDescent="0.35">
      <c r="A90" s="34"/>
    </row>
    <row r="91" spans="1:18" x14ac:dyDescent="0.35">
      <c r="A91" s="34"/>
    </row>
    <row r="92" spans="1:18" x14ac:dyDescent="0.35">
      <c r="A92" s="34"/>
    </row>
    <row r="93" spans="1:18" x14ac:dyDescent="0.35">
      <c r="A93" s="34"/>
    </row>
    <row r="94" spans="1:18" x14ac:dyDescent="0.35">
      <c r="A94" s="34"/>
    </row>
    <row r="95" spans="1:18" x14ac:dyDescent="0.35">
      <c r="A95" s="34"/>
    </row>
    <row r="96" spans="1:18" x14ac:dyDescent="0.35">
      <c r="A96" s="34"/>
    </row>
    <row r="97" spans="1:1" x14ac:dyDescent="0.35">
      <c r="A97" s="34"/>
    </row>
    <row r="98" spans="1:1" x14ac:dyDescent="0.35">
      <c r="A98" s="34"/>
    </row>
    <row r="99" spans="1:1" x14ac:dyDescent="0.35">
      <c r="A99" s="34"/>
    </row>
    <row r="100" spans="1:1" x14ac:dyDescent="0.35">
      <c r="A100" s="34"/>
    </row>
    <row r="101" spans="1:1" x14ac:dyDescent="0.35">
      <c r="A101" s="34"/>
    </row>
    <row r="102" spans="1:1" x14ac:dyDescent="0.35">
      <c r="A102" s="34"/>
    </row>
    <row r="103" spans="1:1" x14ac:dyDescent="0.35">
      <c r="A103" s="34"/>
    </row>
    <row r="104" spans="1:1" x14ac:dyDescent="0.35">
      <c r="A104" s="34"/>
    </row>
    <row r="105" spans="1:1" x14ac:dyDescent="0.35">
      <c r="A105" s="34"/>
    </row>
    <row r="106" spans="1:1" x14ac:dyDescent="0.35">
      <c r="A106" s="34"/>
    </row>
    <row r="107" spans="1:1" x14ac:dyDescent="0.35">
      <c r="A107" s="34"/>
    </row>
    <row r="108" spans="1:1" x14ac:dyDescent="0.35">
      <c r="A108" s="34"/>
    </row>
    <row r="109" spans="1:1" x14ac:dyDescent="0.35">
      <c r="A109" s="34"/>
    </row>
    <row r="110" spans="1:1" x14ac:dyDescent="0.35">
      <c r="A110" s="34"/>
    </row>
    <row r="111" spans="1:1" x14ac:dyDescent="0.35">
      <c r="A111" s="34"/>
    </row>
    <row r="112" spans="1:1" x14ac:dyDescent="0.35">
      <c r="A112" s="34"/>
    </row>
    <row r="113" spans="1:1" x14ac:dyDescent="0.35">
      <c r="A113" s="34"/>
    </row>
    <row r="114" spans="1:1" x14ac:dyDescent="0.35">
      <c r="A114" s="34"/>
    </row>
    <row r="115" spans="1:1" x14ac:dyDescent="0.35">
      <c r="A115" s="34"/>
    </row>
    <row r="116" spans="1:1" x14ac:dyDescent="0.35">
      <c r="A116" s="34"/>
    </row>
    <row r="117" spans="1:1" x14ac:dyDescent="0.35">
      <c r="A117" s="34"/>
    </row>
    <row r="118" spans="1:1" x14ac:dyDescent="0.35">
      <c r="A118" s="34"/>
    </row>
    <row r="119" spans="1:1" x14ac:dyDescent="0.35">
      <c r="A119" s="34"/>
    </row>
    <row r="120" spans="1:1" x14ac:dyDescent="0.35">
      <c r="A120" s="34"/>
    </row>
    <row r="121" spans="1:1" x14ac:dyDescent="0.35">
      <c r="A121" s="34"/>
    </row>
    <row r="122" spans="1:1" x14ac:dyDescent="0.35">
      <c r="A122" s="34"/>
    </row>
    <row r="123" spans="1:1" x14ac:dyDescent="0.35">
      <c r="A123" s="34"/>
    </row>
    <row r="124" spans="1:1" x14ac:dyDescent="0.35">
      <c r="A124" s="34"/>
    </row>
    <row r="125" spans="1:1" x14ac:dyDescent="0.35">
      <c r="A125" s="34"/>
    </row>
    <row r="126" spans="1:1" x14ac:dyDescent="0.35">
      <c r="A126" s="34"/>
    </row>
    <row r="127" spans="1:1" x14ac:dyDescent="0.35">
      <c r="A127" s="34"/>
    </row>
    <row r="128" spans="1:1" x14ac:dyDescent="0.35">
      <c r="A128" s="34"/>
    </row>
    <row r="129" spans="1:1" x14ac:dyDescent="0.35">
      <c r="A129" s="34"/>
    </row>
    <row r="130" spans="1:1" x14ac:dyDescent="0.35">
      <c r="A130" s="34"/>
    </row>
    <row r="131" spans="1:1" x14ac:dyDescent="0.35">
      <c r="A131" s="34"/>
    </row>
    <row r="132" spans="1:1" x14ac:dyDescent="0.35">
      <c r="A132" s="34"/>
    </row>
    <row r="133" spans="1:1" x14ac:dyDescent="0.35">
      <c r="A133" s="34"/>
    </row>
    <row r="134" spans="1:1" x14ac:dyDescent="0.35">
      <c r="A134" s="34"/>
    </row>
    <row r="135" spans="1:1" x14ac:dyDescent="0.35">
      <c r="A135" s="34"/>
    </row>
    <row r="136" spans="1:1" x14ac:dyDescent="0.35">
      <c r="A136" s="3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2025-07-15T07:54:51Z</dcterms:created>
  <dcterms:modified xsi:type="dcterms:W3CDTF">2025-07-15T07:58:22Z</dcterms:modified>
</cp:coreProperties>
</file>